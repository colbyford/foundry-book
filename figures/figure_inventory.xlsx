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D89FE2BE-F6A3-43E9-A66A-EB4756910B04}" xr6:coauthVersionLast="47" xr6:coauthVersionMax="47" xr10:uidLastSave="{00000000-0000-0000-0000-000000000000}"/>
  <bookViews>
    <workbookView xWindow="42705" yWindow="1125" windowWidth="27645" windowHeight="140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0" i="1" l="1"/>
  <c r="J148" i="1"/>
  <c r="J145" i="1"/>
  <c r="J146" i="1"/>
  <c r="J147" i="1"/>
  <c r="J143" i="1"/>
  <c r="J144" i="1"/>
  <c r="I143" i="1"/>
  <c r="I144" i="1"/>
  <c r="I145" i="1"/>
  <c r="I146" i="1"/>
  <c r="I147" i="1"/>
  <c r="J140" i="1"/>
  <c r="I140" i="1"/>
  <c r="J138" i="1"/>
  <c r="J141" i="1"/>
  <c r="J136" i="1"/>
  <c r="J134" i="1"/>
  <c r="J133" i="1"/>
  <c r="H140" i="1" a="1"/>
  <c r="H138" i="1" a="1"/>
  <c r="H139" i="1" a="1"/>
  <c r="H141" i="1" a="1"/>
  <c r="H137" i="1" a="1"/>
  <c r="H136" i="1" a="1"/>
  <c r="H134" i="1" a="1"/>
  <c r="H135" i="1" a="1"/>
  <c r="H151" i="1" a="1"/>
  <c r="H152" i="1" a="1"/>
  <c r="H150" i="1" a="1"/>
  <c r="H148" i="1" a="1"/>
  <c r="H149" i="1" a="1"/>
  <c r="H147" i="1" a="1"/>
  <c r="H146" i="1" a="1"/>
  <c r="H144" i="1" a="1"/>
  <c r="H145" i="1" a="1"/>
  <c r="H152" i="1" l="1"/>
  <c r="I152" i="1" s="1"/>
  <c r="J152" i="1" s="1"/>
  <c r="H151" i="1"/>
  <c r="I151" i="1" s="1"/>
  <c r="J151" i="1" s="1"/>
  <c r="H150" i="1"/>
  <c r="I150" i="1" s="1"/>
  <c r="H149" i="1"/>
  <c r="I149" i="1" s="1"/>
  <c r="J149" i="1" s="1"/>
  <c r="H148" i="1"/>
  <c r="I148" i="1" s="1"/>
  <c r="H146" i="1"/>
  <c r="H147" i="1"/>
  <c r="H145" i="1"/>
  <c r="H144" i="1"/>
  <c r="H140" i="1"/>
  <c r="H141" i="1"/>
  <c r="I141" i="1" s="1"/>
  <c r="H139" i="1"/>
  <c r="I139" i="1" s="1"/>
  <c r="J139" i="1" s="1"/>
  <c r="H138" i="1"/>
  <c r="I138" i="1" s="1"/>
  <c r="H136" i="1"/>
  <c r="I136" i="1" s="1"/>
  <c r="H137" i="1"/>
  <c r="I137" i="1" s="1"/>
  <c r="J137" i="1" s="1"/>
  <c r="H135" i="1"/>
  <c r="I135" i="1" s="1"/>
  <c r="J135" i="1" s="1"/>
  <c r="H134" i="1"/>
  <c r="I134" i="1" s="1"/>
  <c r="H143" i="1" a="1"/>
  <c r="H143" i="1"/>
  <c r="H142" i="1" a="1"/>
  <c r="H142" i="1"/>
  <c r="I142" i="1" s="1"/>
  <c r="J142" i="1" s="1"/>
  <c r="H133" i="1" a="1"/>
  <c r="H133" i="1"/>
  <c r="I133" i="1" s="1"/>
  <c r="J130" i="1"/>
  <c r="J131" i="1"/>
  <c r="J126" i="1"/>
  <c r="J128" i="1"/>
  <c r="J125" i="1"/>
  <c r="J123" i="1"/>
  <c r="J121" i="1"/>
  <c r="J50" i="1"/>
  <c r="J52" i="1"/>
  <c r="J54" i="1"/>
  <c r="J57" i="1"/>
  <c r="J59" i="1"/>
  <c r="J65" i="1"/>
  <c r="J67" i="1"/>
  <c r="J70" i="1"/>
  <c r="J72" i="1"/>
  <c r="J74" i="1"/>
  <c r="J76" i="1"/>
  <c r="J78" i="1"/>
  <c r="J80" i="1"/>
  <c r="J87" i="1"/>
  <c r="J89" i="1"/>
  <c r="J91" i="1"/>
  <c r="J93" i="1"/>
  <c r="J95" i="1"/>
  <c r="J97" i="1"/>
  <c r="J99" i="1"/>
  <c r="J101" i="1"/>
  <c r="J103" i="1"/>
  <c r="J105" i="1"/>
  <c r="J107" i="1"/>
  <c r="J109" i="1"/>
  <c r="J112" i="1"/>
  <c r="J114" i="1"/>
  <c r="J116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130" i="1" a="1"/>
  <c r="H131" i="1" a="1"/>
  <c r="H132" i="1" a="1"/>
  <c r="H128" i="1" a="1"/>
  <c r="H129" i="1" a="1"/>
  <c r="H126" i="1" a="1"/>
  <c r="H127" i="1" a="1"/>
  <c r="H125" i="1" a="1"/>
  <c r="H120" i="1" a="1"/>
  <c r="H111" i="1" a="1"/>
  <c r="H6" i="1" a="1"/>
  <c r="H48" i="1" a="1"/>
  <c r="H103" i="1" a="1"/>
  <c r="H30" i="1" a="1"/>
  <c r="H72" i="1" a="1"/>
  <c r="H36" i="1" a="1"/>
  <c r="H82" i="1" a="1"/>
  <c r="H62" i="1" a="1"/>
  <c r="H64" i="1" a="1"/>
  <c r="H47" i="1" a="1"/>
  <c r="H98" i="1" a="1"/>
  <c r="H95" i="1" a="1"/>
  <c r="H16" i="1" a="1"/>
  <c r="H116" i="1" a="1"/>
  <c r="H54" i="1" a="1"/>
  <c r="H104" i="1" a="1"/>
  <c r="H65" i="1" a="1"/>
  <c r="H26" i="1" a="1"/>
  <c r="H53" i="1" a="1"/>
  <c r="H96" i="1" a="1"/>
  <c r="H13" i="1" a="1"/>
  <c r="H83" i="1" a="1"/>
  <c r="H50" i="1" a="1"/>
  <c r="H84" i="1" a="1"/>
  <c r="H43" i="1" a="1"/>
  <c r="H101" i="1" a="1"/>
  <c r="H11" i="1" a="1"/>
  <c r="H58" i="1" a="1"/>
  <c r="H51" i="1" a="1"/>
  <c r="H61" i="1" a="1"/>
  <c r="H15" i="1" a="1"/>
  <c r="H113" i="1" a="1"/>
  <c r="H7" i="1" a="1"/>
  <c r="H31" i="1" a="1"/>
  <c r="H91" i="1" a="1"/>
  <c r="H92" i="1" a="1"/>
  <c r="H89" i="1" a="1"/>
  <c r="H23" i="1" a="1"/>
  <c r="H106" i="1" a="1"/>
  <c r="H35" i="1" a="1"/>
  <c r="H107" i="1" a="1"/>
  <c r="H71" i="1" a="1"/>
  <c r="H81" i="1" a="1"/>
  <c r="H2" i="1" a="1"/>
  <c r="H67" i="1" a="1"/>
  <c r="H77" i="1" a="1"/>
  <c r="H22" i="1" a="1"/>
  <c r="H60" i="1" a="1"/>
  <c r="H55" i="1" a="1"/>
  <c r="H32" i="1" a="1"/>
  <c r="H87" i="1" a="1"/>
  <c r="H79" i="1" a="1"/>
  <c r="H49" i="1" a="1"/>
  <c r="H97" i="1" a="1"/>
  <c r="H74" i="1" a="1"/>
  <c r="H33" i="1" a="1"/>
  <c r="H34" i="1" a="1"/>
  <c r="H118" i="1" a="1"/>
  <c r="H3" i="1" a="1"/>
  <c r="H52" i="1" a="1"/>
  <c r="H93" i="1" a="1"/>
  <c r="H112" i="1" a="1"/>
  <c r="H12" i="1" a="1"/>
  <c r="H75" i="1" a="1"/>
  <c r="H66" i="1" a="1"/>
  <c r="H17" i="1" a="1"/>
  <c r="H73" i="1" a="1"/>
  <c r="H115" i="1" a="1"/>
  <c r="H14" i="1" a="1"/>
  <c r="H25" i="1" a="1"/>
  <c r="H109" i="1" a="1"/>
  <c r="H78" i="1" a="1"/>
  <c r="H24" i="1" a="1"/>
  <c r="H38" i="1" a="1"/>
  <c r="H76" i="1" a="1"/>
  <c r="H117" i="1" a="1"/>
  <c r="H40" i="1" a="1"/>
  <c r="H20" i="1" a="1"/>
  <c r="H110" i="1" a="1"/>
  <c r="H9" i="1" a="1"/>
  <c r="H37" i="1" a="1"/>
  <c r="H39" i="1" a="1"/>
  <c r="H100" i="1" a="1"/>
  <c r="H59" i="1" a="1"/>
  <c r="H45" i="1" a="1"/>
  <c r="H108" i="1" a="1"/>
  <c r="H102" i="1" a="1"/>
  <c r="H57" i="1" a="1"/>
  <c r="H56" i="1" a="1"/>
  <c r="H8" i="1" a="1"/>
  <c r="H90" i="1" a="1"/>
  <c r="H41" i="1" a="1"/>
  <c r="H119" i="1" a="1"/>
  <c r="H88" i="1" a="1"/>
  <c r="H99" i="1" a="1"/>
  <c r="H44" i="1" a="1"/>
  <c r="H69" i="1" a="1"/>
  <c r="H19" i="1" a="1"/>
  <c r="H27" i="1" a="1"/>
  <c r="H70" i="1" a="1"/>
  <c r="H85" i="1" a="1"/>
  <c r="H105" i="1" a="1"/>
  <c r="H86" i="1" a="1"/>
  <c r="H114" i="1" a="1"/>
  <c r="H10" i="1" a="1"/>
  <c r="H42" i="1" a="1"/>
  <c r="H18" i="1" a="1"/>
  <c r="H21" i="1" a="1"/>
  <c r="H68" i="1" a="1"/>
  <c r="H4" i="1" a="1"/>
  <c r="H5" i="1" a="1"/>
  <c r="H63" i="1" a="1"/>
  <c r="H80" i="1" a="1"/>
  <c r="H94" i="1" a="1"/>
  <c r="H29" i="1" a="1"/>
  <c r="H46" i="1" a="1"/>
  <c r="H28" i="1" a="1"/>
  <c r="H123" i="1" a="1"/>
  <c r="H124" i="1" a="1"/>
  <c r="H121" i="1" a="1"/>
  <c r="H122" i="1" a="1"/>
  <c r="H132" i="1" l="1"/>
  <c r="I132" i="1" s="1"/>
  <c r="J132" i="1" s="1"/>
  <c r="H131" i="1"/>
  <c r="I131" i="1" s="1"/>
  <c r="H130" i="1"/>
  <c r="I130" i="1" s="1"/>
  <c r="H129" i="1"/>
  <c r="I129" i="1" s="1"/>
  <c r="J129" i="1" s="1"/>
  <c r="H128" i="1"/>
  <c r="I128" i="1" s="1"/>
  <c r="H127" i="1"/>
  <c r="I127" i="1" s="1"/>
  <c r="J127" i="1" s="1"/>
  <c r="H126" i="1"/>
  <c r="I126" i="1" s="1"/>
  <c r="H125" i="1"/>
  <c r="I125" i="1" s="1"/>
  <c r="H120" i="1"/>
  <c r="I120" i="1" s="1"/>
  <c r="J120" i="1" s="1"/>
  <c r="H124" i="1"/>
  <c r="I124" i="1" s="1"/>
  <c r="J124" i="1" s="1"/>
  <c r="H123" i="1"/>
  <c r="I123" i="1" s="1"/>
  <c r="H122" i="1"/>
  <c r="I122" i="1" s="1"/>
  <c r="J122" i="1" s="1"/>
  <c r="H121" i="1"/>
  <c r="I121" i="1" s="1"/>
  <c r="H67" i="1"/>
  <c r="I67" i="1" s="1"/>
  <c r="H69" i="1"/>
  <c r="I69" i="1" s="1"/>
  <c r="J69" i="1" s="1"/>
  <c r="H64" i="1"/>
  <c r="I64" i="1" s="1"/>
  <c r="J64" i="1" s="1"/>
  <c r="H83" i="1"/>
  <c r="I83" i="1" s="1"/>
  <c r="J83" i="1" s="1"/>
  <c r="H92" i="1"/>
  <c r="I92" i="1" s="1"/>
  <c r="J92" i="1" s="1"/>
  <c r="H62" i="1"/>
  <c r="I62" i="1" s="1"/>
  <c r="J62" i="1" s="1"/>
  <c r="H81" i="1"/>
  <c r="I81" i="1" s="1"/>
  <c r="J81" i="1" s="1"/>
  <c r="H91" i="1"/>
  <c r="I91" i="1" s="1"/>
  <c r="H88" i="1"/>
  <c r="I88" i="1" s="1"/>
  <c r="J88" i="1" s="1"/>
  <c r="H110" i="1"/>
  <c r="I110" i="1" s="1"/>
  <c r="J110" i="1" s="1"/>
  <c r="H119" i="1"/>
  <c r="I119" i="1" s="1"/>
  <c r="J119" i="1" s="1"/>
  <c r="H90" i="1"/>
  <c r="I90" i="1" s="1"/>
  <c r="J90" i="1" s="1"/>
  <c r="H56" i="1"/>
  <c r="I56" i="1" s="1"/>
  <c r="J56" i="1" s="1"/>
  <c r="H117" i="1"/>
  <c r="I117" i="1" s="1"/>
  <c r="J117" i="1" s="1"/>
  <c r="H66" i="1"/>
  <c r="I66" i="1" s="1"/>
  <c r="J66" i="1" s="1"/>
  <c r="H112" i="1"/>
  <c r="I112" i="1" s="1"/>
  <c r="H79" i="1"/>
  <c r="I79" i="1" s="1"/>
  <c r="J79" i="1" s="1"/>
  <c r="H55" i="1"/>
  <c r="I55" i="1" s="1"/>
  <c r="J55" i="1" s="1"/>
  <c r="H71" i="1"/>
  <c r="I71" i="1" s="1"/>
  <c r="J71" i="1" s="1"/>
  <c r="H113" i="1"/>
  <c r="I113" i="1" s="1"/>
  <c r="J113" i="1" s="1"/>
  <c r="H61" i="1"/>
  <c r="I61" i="1" s="1"/>
  <c r="J61" i="1" s="1"/>
  <c r="H82" i="1"/>
  <c r="I82" i="1" s="1"/>
  <c r="J82" i="1" s="1"/>
  <c r="H104" i="1"/>
  <c r="I104" i="1" s="1"/>
  <c r="J104" i="1" s="1"/>
  <c r="H103" i="1"/>
  <c r="I103" i="1" s="1"/>
  <c r="H111" i="1"/>
  <c r="I111" i="1" s="1"/>
  <c r="J111" i="1" s="1"/>
  <c r="H58" i="1"/>
  <c r="I58" i="1" s="1"/>
  <c r="J58" i="1" s="1"/>
  <c r="H80" i="1"/>
  <c r="I80" i="1" s="1"/>
  <c r="H102" i="1"/>
  <c r="I102" i="1" s="1"/>
  <c r="J102" i="1" s="1"/>
  <c r="H78" i="1"/>
  <c r="I78" i="1" s="1"/>
  <c r="H54" i="1"/>
  <c r="I54" i="1" s="1"/>
  <c r="H95" i="1"/>
  <c r="I95" i="1" s="1"/>
  <c r="H70" i="1"/>
  <c r="I70" i="1" s="1"/>
  <c r="H108" i="1"/>
  <c r="I108" i="1" s="1"/>
  <c r="J108" i="1" s="1"/>
  <c r="H101" i="1"/>
  <c r="I101" i="1" s="1"/>
  <c r="H77" i="1"/>
  <c r="I77" i="1" s="1"/>
  <c r="J77" i="1" s="1"/>
  <c r="H53" i="1"/>
  <c r="I53" i="1" s="1"/>
  <c r="J53" i="1" s="1"/>
  <c r="H116" i="1"/>
  <c r="I116" i="1" s="1"/>
  <c r="H109" i="1"/>
  <c r="I109" i="1" s="1"/>
  <c r="H52" i="1"/>
  <c r="I52" i="1" s="1"/>
  <c r="H68" i="1"/>
  <c r="I68" i="1" s="1"/>
  <c r="J68" i="1" s="1"/>
  <c r="H89" i="1"/>
  <c r="I89" i="1" s="1"/>
  <c r="H94" i="1"/>
  <c r="I94" i="1" s="1"/>
  <c r="J94" i="1" s="1"/>
  <c r="H84" i="1"/>
  <c r="I84" i="1" s="1"/>
  <c r="J84" i="1" s="1"/>
  <c r="H86" i="1"/>
  <c r="I86" i="1" s="1"/>
  <c r="J86" i="1" s="1"/>
  <c r="H98" i="1"/>
  <c r="I98" i="1" s="1"/>
  <c r="J98" i="1" s="1"/>
  <c r="H74" i="1"/>
  <c r="I74" i="1" s="1"/>
  <c r="H50" i="1"/>
  <c r="I50" i="1" s="1"/>
  <c r="H118" i="1"/>
  <c r="I118" i="1" s="1"/>
  <c r="J118" i="1" s="1"/>
  <c r="H63" i="1"/>
  <c r="I63" i="1" s="1"/>
  <c r="J63" i="1" s="1"/>
  <c r="H59" i="1"/>
  <c r="I59" i="1" s="1"/>
  <c r="H105" i="1"/>
  <c r="I105" i="1" s="1"/>
  <c r="H115" i="1"/>
  <c r="I115" i="1" s="1"/>
  <c r="J115" i="1" s="1"/>
  <c r="H65" i="1"/>
  <c r="I65" i="1" s="1"/>
  <c r="H100" i="1"/>
  <c r="I100" i="1" s="1"/>
  <c r="J100" i="1" s="1"/>
  <c r="H99" i="1"/>
  <c r="I99" i="1" s="1"/>
  <c r="H97" i="1"/>
  <c r="I97" i="1" s="1"/>
  <c r="H73" i="1"/>
  <c r="I73" i="1" s="1"/>
  <c r="J73" i="1" s="1"/>
  <c r="H49" i="1"/>
  <c r="I49" i="1" s="1"/>
  <c r="J49" i="1" s="1"/>
  <c r="H114" i="1"/>
  <c r="I114" i="1" s="1"/>
  <c r="H85" i="1"/>
  <c r="I85" i="1" s="1"/>
  <c r="J85" i="1" s="1"/>
  <c r="H57" i="1"/>
  <c r="I57" i="1" s="1"/>
  <c r="H76" i="1"/>
  <c r="I76" i="1" s="1"/>
  <c r="H75" i="1"/>
  <c r="I75" i="1" s="1"/>
  <c r="J75" i="1" s="1"/>
  <c r="H93" i="1"/>
  <c r="I93" i="1" s="1"/>
  <c r="H87" i="1"/>
  <c r="I87" i="1" s="1"/>
  <c r="H60" i="1"/>
  <c r="I60" i="1" s="1"/>
  <c r="J60" i="1" s="1"/>
  <c r="H107" i="1"/>
  <c r="I107" i="1" s="1"/>
  <c r="H106" i="1"/>
  <c r="I106" i="1" s="1"/>
  <c r="J106" i="1" s="1"/>
  <c r="H51" i="1"/>
  <c r="I51" i="1" s="1"/>
  <c r="J51" i="1" s="1"/>
  <c r="H96" i="1"/>
  <c r="I96" i="1" s="1"/>
  <c r="J96" i="1" s="1"/>
  <c r="H72" i="1"/>
  <c r="I72" i="1" s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H26" i="1"/>
  <c r="I26" i="1" s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<sst xmlns="http://schemas.openxmlformats.org/spreadsheetml/2006/main" count="575" uniqueCount="275">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</sst>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10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CRC16 Hash Module:</a:t>
          </a:r>
        </a:p>
        <a:p>
          <a:pPr algn="l"/>
          <a:endParaRPr lang="en-US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152"/>
  <sheetViews>
    <sheetView tabSelected="1" topLeftCell="D1" zoomScale="145" zoomScaleNormal="145" workbookViewId="0">
      <pane ySplit="1" topLeftCell="A140" activePane="bottomLeft" state="frozen"/>
      <selection pane="bottomLeft" activeCell="J151" sqref="J151:J152"/>
    </sheetView>
  </sheetViews>
  <sheetFormatPr defaultRowHeight="15" x14ac:dyDescent="0.25"/>
  <cols>
    <col min="1" max="1" width="4" bestFit="1" customWidth="1"/>
    <col min="2" max="2" width="6.28515625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8.28515625" bestFit="1" customWidth="1"/>
    <col min="9" max="9" width="13.140625" bestFit="1" customWidth="1"/>
    <col min="10" max="10" width="51.28515625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2" si="2">_xlfn.CONCAT("{#fig-",H49,"}")</f>
        <v>{#fig-AFD2}</v>
      </c>
      <c r="J49" t="str">
        <f t="shared" ref="J49:J112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t="s">
        <v>99</v>
      </c>
      <c r="C50" t="s">
        <v>4</v>
      </c>
      <c r="D50" t="b">
        <v>0</v>
      </c>
      <c r="E50" t="b">
        <v>0</v>
      </c>
      <c r="F50" t="s">
        <v>151</v>
      </c>
      <c r="H50" s="1" t="str" cm="1">
        <f t="array" ref="H50">CRC16HASH(F50)</f>
        <v>AFD</v>
      </c>
      <c r="I50" t="str">
        <f t="shared" si="2"/>
        <v>{#fig-AFD}</v>
      </c>
      <c r="J50" t="str">
        <f t="shared" si="3"/>
        <v/>
      </c>
    </row>
    <row r="51" spans="1:10" x14ac:dyDescent="0.25">
      <c r="A51">
        <v>52</v>
      </c>
      <c r="B51" t="s">
        <v>99</v>
      </c>
      <c r="C51" t="s">
        <v>4</v>
      </c>
      <c r="D51" t="b">
        <v>1</v>
      </c>
      <c r="E51" t="b">
        <v>1</v>
      </c>
      <c r="F51" t="s">
        <v>152</v>
      </c>
      <c r="G51" t="s">
        <v>41</v>
      </c>
      <c r="H51" s="1" t="str" cm="1">
        <f t="array" ref="H51">CRC16HASH(F51)</f>
        <v>1BC</v>
      </c>
      <c r="I51" t="str">
        <f t="shared" si="2"/>
        <v>{#fig-1BC}</v>
      </c>
      <c r="J51" t="str">
        <f t="shared" si="3"/>
        <v>![Creating an agent from the Agents tab](figures/ad/ss_agent_001_ann.png){#fig-1BC}</v>
      </c>
    </row>
    <row r="52" spans="1:10" x14ac:dyDescent="0.25">
      <c r="A52">
        <v>53</v>
      </c>
      <c r="B52" t="s">
        <v>99</v>
      </c>
      <c r="C52" t="s">
        <v>4</v>
      </c>
      <c r="D52" t="b">
        <v>0</v>
      </c>
      <c r="E52" t="b">
        <v>0</v>
      </c>
      <c r="F52" t="s">
        <v>153</v>
      </c>
      <c r="H52" s="1" t="str" cm="1">
        <f t="array" ref="H52">CRC16HASH(F52)</f>
        <v>4EF2</v>
      </c>
      <c r="I52" t="str">
        <f t="shared" si="2"/>
        <v>{#fig-4EF2}</v>
      </c>
      <c r="J52" t="str">
        <f t="shared" si="3"/>
        <v/>
      </c>
    </row>
    <row r="53" spans="1:10" x14ac:dyDescent="0.25">
      <c r="A53">
        <v>54</v>
      </c>
      <c r="B53" t="s">
        <v>99</v>
      </c>
      <c r="C53" t="s">
        <v>4</v>
      </c>
      <c r="D53" t="b">
        <v>1</v>
      </c>
      <c r="E53" t="b">
        <v>1</v>
      </c>
      <c r="F53" t="s">
        <v>154</v>
      </c>
      <c r="G53" t="s">
        <v>42</v>
      </c>
      <c r="H53" s="1" t="str" cm="1">
        <f t="array" ref="H53">CRC16HASH(F53)</f>
        <v>F1A8</v>
      </c>
      <c r="I53" t="str">
        <f t="shared" si="2"/>
        <v>{#fig-F1A8}</v>
      </c>
      <c r="J53" t="str">
        <f t="shared" si="3"/>
        <v>![Giving your new agent a name](figures/ad/ss_agent_002_ann.png){#fig-F1A8}</v>
      </c>
    </row>
    <row r="54" spans="1:10" x14ac:dyDescent="0.25">
      <c r="A54">
        <v>55</v>
      </c>
      <c r="B54" t="s">
        <v>99</v>
      </c>
      <c r="C54" t="s">
        <v>4</v>
      </c>
      <c r="D54" t="b">
        <v>0</v>
      </c>
      <c r="E54" t="b">
        <v>0</v>
      </c>
      <c r="F54" t="s">
        <v>155</v>
      </c>
      <c r="H54" s="1" t="str" cm="1">
        <f t="array" ref="H54">CRC16HASH(F54)</f>
        <v>B2F6</v>
      </c>
      <c r="I54" t="str">
        <f t="shared" si="2"/>
        <v>{#fig-B2F6}</v>
      </c>
      <c r="J54" t="str">
        <f t="shared" si="3"/>
        <v/>
      </c>
    </row>
    <row r="55" spans="1:10" x14ac:dyDescent="0.25">
      <c r="A55">
        <v>56</v>
      </c>
      <c r="B55" t="s">
        <v>99</v>
      </c>
      <c r="C55" t="s">
        <v>4</v>
      </c>
      <c r="D55" t="b">
        <v>1</v>
      </c>
      <c r="E55" t="b">
        <v>1</v>
      </c>
      <c r="F55" t="s">
        <v>156</v>
      </c>
      <c r="G55" t="s">
        <v>43</v>
      </c>
      <c r="H55" s="1" t="str" cm="1">
        <f t="array" ref="H55">CRC16HASH(F55)</f>
        <v>61A5</v>
      </c>
      <c r="I55" t="str">
        <f t="shared" si="2"/>
        <v>{#fig-61A5}</v>
      </c>
      <c r="J55" t="str">
        <f t="shared" si="3"/>
        <v>![Listing all Agents in your Project](figures/ad/ss_agent_003_ann.png){#fig-61A5}</v>
      </c>
    </row>
    <row r="56" spans="1:10" x14ac:dyDescent="0.25">
      <c r="A56">
        <v>57</v>
      </c>
      <c r="B56" t="s">
        <v>99</v>
      </c>
      <c r="C56" t="s">
        <v>4</v>
      </c>
      <c r="D56" t="b">
        <v>0</v>
      </c>
      <c r="E56" t="b">
        <v>1</v>
      </c>
      <c r="F56" t="s">
        <v>157</v>
      </c>
      <c r="G56" t="s">
        <v>44</v>
      </c>
      <c r="H56" s="1" t="str" cm="1">
        <f t="array" ref="H56">CRC16HASH(F56)</f>
        <v>C6EC</v>
      </c>
      <c r="I56" t="str">
        <f t="shared" si="2"/>
        <v>{#fig-C6EC}</v>
      </c>
      <c r="J56" t="str">
        <f t="shared" si="3"/>
        <v>![Your real estate Agent's Playground](figures/ad/ss_agent_004_clean.png){#fig-C6EC}</v>
      </c>
    </row>
    <row r="57" spans="1:10" x14ac:dyDescent="0.25">
      <c r="A57">
        <v>58</v>
      </c>
      <c r="B57" t="s">
        <v>99</v>
      </c>
      <c r="C57" t="s">
        <v>4</v>
      </c>
      <c r="D57" t="b">
        <v>0</v>
      </c>
      <c r="E57" t="b">
        <v>0</v>
      </c>
      <c r="F57" t="s">
        <v>158</v>
      </c>
      <c r="H57" s="1" t="str" cm="1">
        <f t="array" ref="H57">CRC16HASH(F57)</f>
        <v>3AE8</v>
      </c>
      <c r="I57" t="str">
        <f t="shared" si="2"/>
        <v>{#fig-3AE8}</v>
      </c>
      <c r="J57" t="str">
        <f t="shared" si="3"/>
        <v/>
      </c>
    </row>
    <row r="58" spans="1:10" x14ac:dyDescent="0.25">
      <c r="A58">
        <v>59</v>
      </c>
      <c r="B58" t="s">
        <v>99</v>
      </c>
      <c r="C58" t="s">
        <v>4</v>
      </c>
      <c r="D58" t="b">
        <v>1</v>
      </c>
      <c r="E58" t="b">
        <v>1</v>
      </c>
      <c r="F58" t="s">
        <v>159</v>
      </c>
      <c r="G58" t="s">
        <v>45</v>
      </c>
      <c r="H58" s="1" t="str" cm="1">
        <f t="array" ref="H58">CRC16HASH(F58)</f>
        <v>C18E</v>
      </c>
      <c r="I58" t="str">
        <f t="shared" si="2"/>
        <v>{#fig-C18E}</v>
      </c>
      <c r="J58" t="str">
        <f t="shared" si="3"/>
        <v>![Giving the real estate Agent instructions](figures/ad/ss_agent_005_ann.png){#fig-C18E}</v>
      </c>
    </row>
    <row r="59" spans="1:10" x14ac:dyDescent="0.25">
      <c r="A59">
        <v>60</v>
      </c>
      <c r="B59" t="s">
        <v>99</v>
      </c>
      <c r="C59" t="s">
        <v>4</v>
      </c>
      <c r="D59" t="b">
        <v>0</v>
      </c>
      <c r="E59" t="b">
        <v>0</v>
      </c>
      <c r="F59" t="s">
        <v>160</v>
      </c>
      <c r="H59" s="1" t="str" cm="1">
        <f t="array" ref="H59">CRC16HASH(F59)</f>
        <v>7EE7</v>
      </c>
      <c r="I59" t="str">
        <f t="shared" si="2"/>
        <v>{#fig-7EE7}</v>
      </c>
      <c r="J59" t="str">
        <f t="shared" si="3"/>
        <v/>
      </c>
    </row>
    <row r="60" spans="1:10" x14ac:dyDescent="0.25">
      <c r="A60">
        <v>61</v>
      </c>
      <c r="B60" t="s">
        <v>99</v>
      </c>
      <c r="C60" t="s">
        <v>4</v>
      </c>
      <c r="D60" t="b">
        <v>1</v>
      </c>
      <c r="E60" t="b">
        <v>1</v>
      </c>
      <c r="F60" t="s">
        <v>161</v>
      </c>
      <c r="G60" t="s">
        <v>46</v>
      </c>
      <c r="H60" s="1" t="str" cm="1">
        <f t="array" ref="H60">CRC16HASH(F60)</f>
        <v>319A</v>
      </c>
      <c r="I60" t="str">
        <f t="shared" si="2"/>
        <v>{#fig-319A}</v>
      </c>
      <c r="J60" t="str">
        <f t="shared" si="3"/>
        <v>![Previewing an Agent app](figures/ad/ss_agent_006_ann.png){#fig-319A}</v>
      </c>
    </row>
    <row r="61" spans="1:10" x14ac:dyDescent="0.25">
      <c r="A61">
        <v>62</v>
      </c>
      <c r="B61" t="s">
        <v>99</v>
      </c>
      <c r="C61" t="s">
        <v>4</v>
      </c>
      <c r="D61" t="b">
        <v>0</v>
      </c>
      <c r="E61" t="b">
        <v>1</v>
      </c>
      <c r="F61" t="s">
        <v>162</v>
      </c>
      <c r="G61" t="s">
        <v>47</v>
      </c>
      <c r="H61" s="1" t="str" cm="1">
        <f t="array" ref="H61">CRC16HASH(F61)</f>
        <v>82E3</v>
      </c>
      <c r="I61" t="str">
        <f t="shared" si="2"/>
        <v>{#fig-82E3}</v>
      </c>
      <c r="J61" t="str">
        <f t="shared" si="3"/>
        <v>![Your demo Agent app](figures/ad/ss_agent_007_clean.png){#fig-82E3}</v>
      </c>
    </row>
    <row r="62" spans="1:10" x14ac:dyDescent="0.25">
      <c r="A62">
        <v>63</v>
      </c>
      <c r="B62" t="s">
        <v>99</v>
      </c>
      <c r="C62" t="s">
        <v>4</v>
      </c>
      <c r="D62" t="b">
        <v>0</v>
      </c>
      <c r="E62" t="b">
        <v>1</v>
      </c>
      <c r="F62" t="s">
        <v>163</v>
      </c>
      <c r="G62" t="s">
        <v>53</v>
      </c>
      <c r="H62" s="1" t="str" cm="1">
        <f t="array" ref="H62">CRC16HASH(F62)</f>
        <v>DB36</v>
      </c>
      <c r="I62" t="str">
        <f t="shared" si="2"/>
        <v>{#fig-DB36}</v>
      </c>
      <c r="J62" t="str">
        <f t="shared" si="3"/>
        <v>![An example, yet beautiful home on Zillow](figures/ad/ss_agent_007b_clean.png){#fig-DB36}</v>
      </c>
    </row>
    <row r="63" spans="1:10" x14ac:dyDescent="0.25">
      <c r="A63">
        <v>64</v>
      </c>
      <c r="B63" t="s">
        <v>99</v>
      </c>
      <c r="C63" t="s">
        <v>4</v>
      </c>
      <c r="D63" t="b">
        <v>0</v>
      </c>
      <c r="E63" t="b">
        <v>1</v>
      </c>
      <c r="F63" t="s">
        <v>164</v>
      </c>
      <c r="G63" t="s">
        <v>48</v>
      </c>
      <c r="H63" s="1" t="str" cm="1">
        <f t="array" ref="H63">CRC16HASH(F63)</f>
        <v>96D3</v>
      </c>
      <c r="I63" t="str">
        <f t="shared" si="2"/>
        <v>{#fig-96D3}</v>
      </c>
      <c r="J63" t="str">
        <f t="shared" si="3"/>
        <v>![The Agent's Instagram post](figures/ad/ss_agent_008_clean.png){#fig-96D3}</v>
      </c>
    </row>
    <row r="64" spans="1:10" x14ac:dyDescent="0.25">
      <c r="A64">
        <v>65</v>
      </c>
      <c r="B64" t="s">
        <v>99</v>
      </c>
      <c r="C64" t="s">
        <v>4</v>
      </c>
      <c r="D64" t="b">
        <v>0</v>
      </c>
      <c r="E64" t="b">
        <v>1</v>
      </c>
      <c r="F64" t="s">
        <v>165</v>
      </c>
      <c r="G64" t="s">
        <v>52</v>
      </c>
      <c r="H64" s="1" t="str" cm="1">
        <f t="array" ref="H64">CRC16HASH(F64)</f>
        <v>CF22</v>
      </c>
      <c r="I64" t="str">
        <f t="shared" si="2"/>
        <v>{#fig-CF22}</v>
      </c>
      <c r="J64" t="str">
        <f t="shared" si="3"/>
        <v>![The Agent failing to read from the web](figures/ad/ss_agent_008b_clean.png){#fig-CF22}</v>
      </c>
    </row>
    <row r="65" spans="1:10" x14ac:dyDescent="0.25">
      <c r="A65">
        <v>66</v>
      </c>
      <c r="B65" t="s">
        <v>99</v>
      </c>
      <c r="C65" t="s">
        <v>4</v>
      </c>
      <c r="D65" t="b">
        <v>0</v>
      </c>
      <c r="E65" t="b">
        <v>0</v>
      </c>
      <c r="F65" t="s">
        <v>166</v>
      </c>
      <c r="H65" s="1" t="str" cm="1">
        <f t="array" ref="H65">CRC16HASH(F65)</f>
        <v>6AD7</v>
      </c>
      <c r="I65" t="str">
        <f t="shared" si="2"/>
        <v>{#fig-6AD7}</v>
      </c>
      <c r="J65" t="str">
        <f t="shared" si="3"/>
        <v/>
      </c>
    </row>
    <row r="66" spans="1:10" x14ac:dyDescent="0.25">
      <c r="A66">
        <v>67</v>
      </c>
      <c r="B66" t="s">
        <v>99</v>
      </c>
      <c r="C66" t="s">
        <v>4</v>
      </c>
      <c r="D66" t="b">
        <v>1</v>
      </c>
      <c r="E66" t="b">
        <v>1</v>
      </c>
      <c r="F66" t="s">
        <v>167</v>
      </c>
      <c r="G66" t="s">
        <v>49</v>
      </c>
      <c r="H66" s="1" t="str" cm="1">
        <f t="array" ref="H66">CRC16HASH(F66)</f>
        <v>C1DB</v>
      </c>
      <c r="I66" t="str">
        <f t="shared" si="2"/>
        <v>{#fig-C1DB}</v>
      </c>
      <c r="J66" t="str">
        <f t="shared" si="3"/>
        <v>![Publishing your Agent](figures/ad/ss_agent_009_ann.png){#fig-C1DB}</v>
      </c>
    </row>
    <row r="67" spans="1:10" x14ac:dyDescent="0.25">
      <c r="A67">
        <v>68</v>
      </c>
      <c r="B67" t="s">
        <v>99</v>
      </c>
      <c r="C67" t="s">
        <v>4</v>
      </c>
      <c r="D67" t="b">
        <v>0</v>
      </c>
      <c r="E67" t="b">
        <v>0</v>
      </c>
      <c r="F67" t="s">
        <v>168</v>
      </c>
      <c r="H67" s="1" t="str" cm="1">
        <f t="array" ref="H67">CRC16HASH(F67)</f>
        <v>3504</v>
      </c>
      <c r="I67" t="str">
        <f t="shared" si="2"/>
        <v>{#fig-3504}</v>
      </c>
      <c r="J67" t="str">
        <f t="shared" si="3"/>
        <v/>
      </c>
    </row>
    <row r="68" spans="1:10" x14ac:dyDescent="0.25">
      <c r="A68">
        <v>69</v>
      </c>
      <c r="B68" t="s">
        <v>99</v>
      </c>
      <c r="C68" t="s">
        <v>4</v>
      </c>
      <c r="D68" t="b">
        <v>1</v>
      </c>
      <c r="E68" t="b">
        <v>1</v>
      </c>
      <c r="F68" t="s">
        <v>169</v>
      </c>
      <c r="G68" t="s">
        <v>50</v>
      </c>
      <c r="H68" s="1" t="str" cm="1">
        <f t="array" ref="H68">CRC16HASH(F68)</f>
        <v>54E0</v>
      </c>
      <c r="I68" t="str">
        <f t="shared" si="2"/>
        <v>{#fig-54E0}</v>
      </c>
      <c r="J68" t="str">
        <f t="shared" si="3"/>
        <v>![Making your Agent production-ready](figures/ad/ss_agent_010_ann.png){#fig-54E0}</v>
      </c>
    </row>
    <row r="69" spans="1:10" x14ac:dyDescent="0.25">
      <c r="A69">
        <v>70</v>
      </c>
      <c r="B69" t="s">
        <v>99</v>
      </c>
      <c r="C69" t="s">
        <v>4</v>
      </c>
      <c r="D69" t="b">
        <v>0</v>
      </c>
      <c r="E69" t="b">
        <v>1</v>
      </c>
      <c r="F69" t="s">
        <v>170</v>
      </c>
      <c r="G69" t="s">
        <v>51</v>
      </c>
      <c r="H69" s="1" t="str" cm="1">
        <f t="array" ref="H69">CRC16HASH(F69)</f>
        <v>C900</v>
      </c>
      <c r="I69" t="str">
        <f t="shared" si="2"/>
        <v>{#fig-C900}</v>
      </c>
      <c r="J69" t="str">
        <f t="shared" si="3"/>
        <v>![Your Agent was published successfully](figures/ad/ss_agent_011_clean.png){#fig-C900}</v>
      </c>
    </row>
    <row r="70" spans="1:10" x14ac:dyDescent="0.25">
      <c r="A70">
        <v>71</v>
      </c>
      <c r="B70" t="s">
        <v>99</v>
      </c>
      <c r="C70" t="s">
        <v>4</v>
      </c>
      <c r="D70" t="b">
        <v>0</v>
      </c>
      <c r="E70" t="b">
        <v>0</v>
      </c>
      <c r="F70" t="s">
        <v>171</v>
      </c>
      <c r="H70" s="1" t="str" cm="1">
        <f t="array" ref="H70">CRC16HASH(F70)</f>
        <v>A697</v>
      </c>
      <c r="I70" t="str">
        <f t="shared" si="2"/>
        <v>{#fig-A697}</v>
      </c>
      <c r="J70" t="str">
        <f t="shared" si="3"/>
        <v/>
      </c>
    </row>
    <row r="71" spans="1:10" x14ac:dyDescent="0.25">
      <c r="A71">
        <v>72</v>
      </c>
      <c r="B71" t="s">
        <v>99</v>
      </c>
      <c r="C71" t="s">
        <v>4</v>
      </c>
      <c r="D71" t="b">
        <v>1</v>
      </c>
      <c r="E71" t="b">
        <v>1</v>
      </c>
      <c r="F71" t="s">
        <v>172</v>
      </c>
      <c r="G71" t="s">
        <v>54</v>
      </c>
      <c r="H71" s="1" t="str" cm="1">
        <f t="array" ref="H71">CRC16HASH(F71)</f>
        <v>D127</v>
      </c>
      <c r="I71" t="str">
        <f t="shared" si="2"/>
        <v>{#fig-D127}</v>
      </c>
      <c r="J71" t="str">
        <f t="shared" si="3"/>
        <v>![Exploring Tools on the Discover page](figures/ad/ss_tools_001_ann.png){#fig-D127}</v>
      </c>
    </row>
    <row r="72" spans="1:10" x14ac:dyDescent="0.25">
      <c r="A72">
        <v>73</v>
      </c>
      <c r="B72" t="s">
        <v>99</v>
      </c>
      <c r="C72" t="s">
        <v>4</v>
      </c>
      <c r="D72" t="b">
        <v>0</v>
      </c>
      <c r="E72" t="b">
        <v>0</v>
      </c>
      <c r="F72" t="s">
        <v>173</v>
      </c>
      <c r="H72" s="1" t="str" cm="1">
        <f t="array" ref="H72">CRC16HASH(F72)</f>
        <v>E298</v>
      </c>
      <c r="I72" t="str">
        <f t="shared" si="2"/>
        <v>{#fig-E298}</v>
      </c>
      <c r="J72" t="str">
        <f t="shared" si="3"/>
        <v/>
      </c>
    </row>
    <row r="73" spans="1:10" x14ac:dyDescent="0.25">
      <c r="A73">
        <v>74</v>
      </c>
      <c r="B73" t="s">
        <v>99</v>
      </c>
      <c r="C73" t="s">
        <v>4</v>
      </c>
      <c r="D73" t="b">
        <v>1</v>
      </c>
      <c r="E73" t="b">
        <v>1</v>
      </c>
      <c r="F73" t="s">
        <v>174</v>
      </c>
      <c r="G73" t="s">
        <v>55</v>
      </c>
      <c r="H73" s="1" t="str" cm="1">
        <f t="array" ref="H73">CRC16HASH(F73)</f>
        <v>2133</v>
      </c>
      <c r="I73" t="str">
        <f t="shared" si="2"/>
        <v>{#fig-2133}</v>
      </c>
      <c r="J73" t="str">
        <f t="shared" si="3"/>
        <v>![Locating your real estate Agent](figures/ad/ss_tools_002_ann.png){#fig-2133}</v>
      </c>
    </row>
    <row r="74" spans="1:10" x14ac:dyDescent="0.25">
      <c r="A74">
        <v>75</v>
      </c>
      <c r="B74" t="s">
        <v>99</v>
      </c>
      <c r="C74" t="s">
        <v>4</v>
      </c>
      <c r="D74" t="b">
        <v>0</v>
      </c>
      <c r="E74" t="b">
        <v>0</v>
      </c>
      <c r="F74" t="s">
        <v>175</v>
      </c>
      <c r="H74" s="1" t="str" cm="1">
        <f t="array" ref="H74">CRC16HASH(F74)</f>
        <v>1E9C</v>
      </c>
      <c r="I74" t="str">
        <f t="shared" si="2"/>
        <v>{#fig-1E9C}</v>
      </c>
      <c r="J74" t="str">
        <f t="shared" si="3"/>
        <v/>
      </c>
    </row>
    <row r="75" spans="1:10" x14ac:dyDescent="0.25">
      <c r="A75">
        <v>76</v>
      </c>
      <c r="B75" t="s">
        <v>99</v>
      </c>
      <c r="C75" t="s">
        <v>4</v>
      </c>
      <c r="D75" t="b">
        <v>1</v>
      </c>
      <c r="E75" t="b">
        <v>1</v>
      </c>
      <c r="F75" t="s">
        <v>176</v>
      </c>
      <c r="G75" t="s">
        <v>56</v>
      </c>
      <c r="H75" s="1" t="str" cm="1">
        <f t="array" ref="H75">CRC16HASH(F75)</f>
        <v>B13E</v>
      </c>
      <c r="I75" t="str">
        <f t="shared" si="2"/>
        <v>{#fig-B13E}</v>
      </c>
      <c r="J75" t="str">
        <f t="shared" si="3"/>
        <v>![Adding a Tool to your Agent](figures/ad/ss_tools_003_ann.png){#fig-B13E}</v>
      </c>
    </row>
    <row r="76" spans="1:10" x14ac:dyDescent="0.25">
      <c r="A76">
        <v>77</v>
      </c>
      <c r="B76" t="s">
        <v>99</v>
      </c>
      <c r="C76" t="s">
        <v>4</v>
      </c>
      <c r="D76" t="b">
        <v>0</v>
      </c>
      <c r="E76" t="b">
        <v>0</v>
      </c>
      <c r="F76" t="s">
        <v>177</v>
      </c>
      <c r="H76" s="1" t="str" cm="1">
        <f t="array" ref="H76">CRC16HASH(F76)</f>
        <v>6A86</v>
      </c>
      <c r="I76" t="str">
        <f t="shared" si="2"/>
        <v>{#fig-6A86}</v>
      </c>
      <c r="J76" t="str">
        <f t="shared" si="3"/>
        <v/>
      </c>
    </row>
    <row r="77" spans="1:10" x14ac:dyDescent="0.25">
      <c r="A77">
        <v>78</v>
      </c>
      <c r="B77" t="s">
        <v>99</v>
      </c>
      <c r="C77" t="s">
        <v>4</v>
      </c>
      <c r="D77" t="b">
        <v>1</v>
      </c>
      <c r="E77" t="b">
        <v>1</v>
      </c>
      <c r="F77" t="s">
        <v>178</v>
      </c>
      <c r="G77" t="s">
        <v>57</v>
      </c>
      <c r="H77" s="1" t="str" cm="1">
        <f t="array" ref="H77">CRC16HASH(F77)</f>
        <v>8118</v>
      </c>
      <c r="I77" t="str">
        <f t="shared" si="2"/>
        <v>{#fig-8118}</v>
      </c>
      <c r="J77" t="str">
        <f t="shared" si="3"/>
        <v>![Selecting the Web search Tool](figures/ad/ss_tools_004_ann.png){#fig-8118}</v>
      </c>
    </row>
    <row r="78" spans="1:10" x14ac:dyDescent="0.25">
      <c r="A78">
        <v>79</v>
      </c>
      <c r="B78" t="s">
        <v>99</v>
      </c>
      <c r="C78" t="s">
        <v>4</v>
      </c>
      <c r="D78" t="b">
        <v>0</v>
      </c>
      <c r="E78" t="b">
        <v>0</v>
      </c>
      <c r="F78" t="s">
        <v>179</v>
      </c>
      <c r="H78" s="1" t="str" cm="1">
        <f t="array" ref="H78">CRC16HASH(F78)</f>
        <v>9682</v>
      </c>
      <c r="I78" t="str">
        <f t="shared" si="2"/>
        <v>{#fig-9682}</v>
      </c>
      <c r="J78" t="str">
        <f t="shared" si="3"/>
        <v/>
      </c>
    </row>
    <row r="79" spans="1:10" x14ac:dyDescent="0.25">
      <c r="A79">
        <v>80</v>
      </c>
      <c r="B79" t="s">
        <v>99</v>
      </c>
      <c r="C79" t="s">
        <v>4</v>
      </c>
      <c r="D79" t="b">
        <v>1</v>
      </c>
      <c r="E79" t="b">
        <v>1</v>
      </c>
      <c r="F79" t="s">
        <v>180</v>
      </c>
      <c r="G79" t="s">
        <v>58</v>
      </c>
      <c r="H79" s="1" t="str" cm="1">
        <f t="array" ref="H79">CRC16HASH(F79)</f>
        <v>1115</v>
      </c>
      <c r="I79" t="str">
        <f t="shared" si="2"/>
        <v>{#fig-1115}</v>
      </c>
      <c r="J79" t="str">
        <f t="shared" si="3"/>
        <v>![Accepting the terms for Web Search](figures/ad/ss_tools_005_ann.png){#fig-1115}</v>
      </c>
    </row>
    <row r="80" spans="1:10" x14ac:dyDescent="0.25">
      <c r="A80">
        <v>81</v>
      </c>
      <c r="B80" t="s">
        <v>99</v>
      </c>
      <c r="C80" t="s">
        <v>4</v>
      </c>
      <c r="D80" t="b">
        <v>0</v>
      </c>
      <c r="E80" t="b">
        <v>0</v>
      </c>
      <c r="F80" t="s">
        <v>181</v>
      </c>
      <c r="H80" s="1" t="str" cm="1">
        <f t="array" ref="H80">CRC16HASH(F80)</f>
        <v>D28D</v>
      </c>
      <c r="I80" t="str">
        <f t="shared" si="2"/>
        <v>{#fig-D28D}</v>
      </c>
      <c r="J80" t="str">
        <f t="shared" si="3"/>
        <v/>
      </c>
    </row>
    <row r="81" spans="1:10" x14ac:dyDescent="0.25">
      <c r="A81">
        <v>82</v>
      </c>
      <c r="B81" t="s">
        <v>99</v>
      </c>
      <c r="C81" t="s">
        <v>4</v>
      </c>
      <c r="D81" t="b">
        <v>1</v>
      </c>
      <c r="E81" t="b">
        <v>1</v>
      </c>
      <c r="F81" t="s">
        <v>182</v>
      </c>
      <c r="G81" t="s">
        <v>59</v>
      </c>
      <c r="H81" s="1" t="str" cm="1">
        <f t="array" ref="H81">CRC16HASH(F81)</f>
        <v>E101</v>
      </c>
      <c r="I81" t="str">
        <f t="shared" si="2"/>
        <v>{#fig-E101}</v>
      </c>
      <c r="J81" t="str">
        <f t="shared" si="3"/>
        <v>![Saving and previewing the Agent with Web Search connected](figures/ad/ss_tools_006_ann.png){#fig-E101}</v>
      </c>
    </row>
    <row r="82" spans="1:10" x14ac:dyDescent="0.25">
      <c r="A82">
        <v>83</v>
      </c>
      <c r="B82" t="s">
        <v>99</v>
      </c>
      <c r="C82" t="s">
        <v>4</v>
      </c>
      <c r="D82" t="b">
        <v>0</v>
      </c>
      <c r="E82" t="b">
        <v>1</v>
      </c>
      <c r="F82" t="s">
        <v>183</v>
      </c>
      <c r="G82" t="s">
        <v>222</v>
      </c>
      <c r="H82" s="1" t="str" cm="1">
        <f t="array" ref="H82">CRC16HASH(F82)</f>
        <v>2E89</v>
      </c>
      <c r="I82" t="str">
        <f t="shared" si="2"/>
        <v>{#fig-2E89}</v>
      </c>
      <c r="J82" t="str">
        <f t="shared" si="3"/>
        <v>![A much more functional real estate Agent](figures/ad/ss_tools_007_clean.png){#fig-2E89}</v>
      </c>
    </row>
    <row r="83" spans="1:10" x14ac:dyDescent="0.25">
      <c r="A83">
        <v>84</v>
      </c>
      <c r="B83" t="s">
        <v>99</v>
      </c>
      <c r="C83" t="s">
        <v>6</v>
      </c>
      <c r="D83" t="b">
        <v>0</v>
      </c>
      <c r="E83" t="b">
        <v>1</v>
      </c>
      <c r="F83" t="s">
        <v>184</v>
      </c>
      <c r="G83" t="s">
        <v>60</v>
      </c>
      <c r="H83" s="1" t="str" cm="1">
        <f t="array" ref="H83">CRC16HASH(F83)</f>
        <v>4852</v>
      </c>
      <c r="I83" t="str">
        <f t="shared" si="2"/>
        <v>{#fig-4852}</v>
      </c>
      <c r="J83" t="str">
        <f t="shared" si="3"/>
        <v>![Example MCP-based architecture](figures/ad/il_tools_001.png){#fig-4852}</v>
      </c>
    </row>
    <row r="84" spans="1:10" x14ac:dyDescent="0.25">
      <c r="A84">
        <v>85</v>
      </c>
      <c r="B84" t="s">
        <v>99</v>
      </c>
      <c r="C84" t="s">
        <v>4</v>
      </c>
      <c r="D84" t="b">
        <v>0</v>
      </c>
      <c r="E84" t="b">
        <v>1</v>
      </c>
      <c r="F84" t="s">
        <v>185</v>
      </c>
      <c r="G84" t="s">
        <v>61</v>
      </c>
      <c r="H84" s="1" t="str" cm="1">
        <f t="array" ref="H84">CRC16HASH(F84)</f>
        <v>3AB9</v>
      </c>
      <c r="I84" t="str">
        <f t="shared" si="2"/>
        <v>{#fig-3AB9}</v>
      </c>
      <c r="J84" t="str">
        <f t="shared" si="3"/>
        <v>![Configuring a general MCP tool](figures/ad/ss_tools_008_clean.png){#fig-3AB9}</v>
      </c>
    </row>
    <row r="85" spans="1:10" x14ac:dyDescent="0.25">
      <c r="A85">
        <v>86</v>
      </c>
      <c r="B85" t="s">
        <v>99</v>
      </c>
      <c r="C85" t="s">
        <v>4</v>
      </c>
      <c r="D85" t="b">
        <v>0</v>
      </c>
      <c r="E85" t="b">
        <v>1</v>
      </c>
      <c r="F85" t="s">
        <v>186</v>
      </c>
      <c r="G85" t="s">
        <v>72</v>
      </c>
      <c r="H85" s="1" t="str" cm="1">
        <f t="array" ref="H85">CRC16HASH(F85)</f>
        <v>C02E</v>
      </c>
      <c r="I85" t="str">
        <f t="shared" si="2"/>
        <v>{#fig-C02E}</v>
      </c>
      <c r="J85" t="str">
        <f t="shared" si="3"/>
        <v>![Selecting your Subscription and Resource Group in the azd prompt](figures/ad/ss_mcp_001_clean.png){#fig-C02E}</v>
      </c>
    </row>
    <row r="86" spans="1:10" x14ac:dyDescent="0.25">
      <c r="A86">
        <v>87</v>
      </c>
      <c r="B86" t="s">
        <v>99</v>
      </c>
      <c r="C86" t="s">
        <v>4</v>
      </c>
      <c r="D86" t="b">
        <v>0</v>
      </c>
      <c r="E86" t="b">
        <v>1</v>
      </c>
      <c r="F86" t="s">
        <v>187</v>
      </c>
      <c r="G86" t="s">
        <v>73</v>
      </c>
      <c r="H86" s="1" t="str" cm="1">
        <f t="array" ref="H86">CRC16HASH(F86)</f>
        <v>8421</v>
      </c>
      <c r="I86" t="str">
        <f t="shared" si="2"/>
        <v>{#fig-8421}</v>
      </c>
      <c r="J86" t="str">
        <f t="shared" si="3"/>
        <v>![azd has successfully deployed the resources](figures/ad/ss_mcp_002_clean.png){#fig-8421}</v>
      </c>
    </row>
    <row r="87" spans="1:10" x14ac:dyDescent="0.25">
      <c r="A87">
        <v>88</v>
      </c>
      <c r="B87" t="s">
        <v>99</v>
      </c>
      <c r="C87" t="s">
        <v>4</v>
      </c>
      <c r="D87" t="b">
        <v>0</v>
      </c>
      <c r="E87" t="b">
        <v>0</v>
      </c>
      <c r="F87" t="s">
        <v>188</v>
      </c>
      <c r="H87" s="1" t="str" cm="1">
        <f t="array" ref="H87">CRC16HASH(F87)</f>
        <v>7825</v>
      </c>
      <c r="I87" t="str">
        <f t="shared" si="2"/>
        <v>{#fig-7825}</v>
      </c>
      <c r="J87" t="str">
        <f t="shared" si="3"/>
        <v/>
      </c>
    </row>
    <row r="88" spans="1:10" x14ac:dyDescent="0.25">
      <c r="A88">
        <v>89</v>
      </c>
      <c r="B88" t="s">
        <v>99</v>
      </c>
      <c r="C88" t="s">
        <v>4</v>
      </c>
      <c r="D88" t="b">
        <v>1</v>
      </c>
      <c r="E88" t="b">
        <v>1</v>
      </c>
      <c r="F88" t="s">
        <v>189</v>
      </c>
      <c r="G88" t="s">
        <v>74</v>
      </c>
      <c r="H88" s="1" t="str" cm="1">
        <f t="array" ref="H88">CRC16HASH(F88)</f>
        <v>B89C</v>
      </c>
      <c r="I88" t="str">
        <f t="shared" si="2"/>
        <v>{#fig-B89C}</v>
      </c>
      <c r="J88" t="str">
        <f t="shared" si="3"/>
        <v>![Successful deployment of the MCP Toolkit](figures/ad/ss_mcp_003_ann.png){#fig-B89C}</v>
      </c>
    </row>
    <row r="89" spans="1:10" x14ac:dyDescent="0.25">
      <c r="A89">
        <v>90</v>
      </c>
      <c r="B89" t="s">
        <v>99</v>
      </c>
      <c r="C89" t="s">
        <v>4</v>
      </c>
      <c r="D89" t="b">
        <v>0</v>
      </c>
      <c r="E89" t="b">
        <v>0</v>
      </c>
      <c r="F89" t="s">
        <v>190</v>
      </c>
      <c r="H89" s="1" t="str" cm="1">
        <f t="array" ref="H89">CRC16HASH(F89)</f>
        <v>C3F</v>
      </c>
      <c r="I89" t="str">
        <f t="shared" si="2"/>
        <v>{#fig-C3F}</v>
      </c>
      <c r="J89" t="str">
        <f t="shared" si="3"/>
        <v/>
      </c>
    </row>
    <row r="90" spans="1:10" x14ac:dyDescent="0.25">
      <c r="A90">
        <v>91</v>
      </c>
      <c r="B90" t="s">
        <v>99</v>
      </c>
      <c r="C90" t="s">
        <v>4</v>
      </c>
      <c r="D90" t="b">
        <v>1</v>
      </c>
      <c r="E90" t="b">
        <v>1</v>
      </c>
      <c r="F90" t="s">
        <v>191</v>
      </c>
      <c r="G90" t="s">
        <v>75</v>
      </c>
      <c r="H90" s="1" t="str" cm="1">
        <f t="array" ref="H90">CRC16HASH(F90)</f>
        <v>88BA</v>
      </c>
      <c r="I90" t="str">
        <f t="shared" si="2"/>
        <v>{#fig-88BA}</v>
      </c>
      <c r="J90" t="str">
        <f t="shared" si="3"/>
        <v>![Authenticating the MCP Toolkit with your Tenant and Entra App IDs](figures/ad/ss_mcp_004_ann.png){#fig-88BA}</v>
      </c>
    </row>
    <row r="91" spans="1:10" x14ac:dyDescent="0.25">
      <c r="A91">
        <v>92</v>
      </c>
      <c r="B91" t="s">
        <v>99</v>
      </c>
      <c r="C91" t="s">
        <v>4</v>
      </c>
      <c r="D91" t="b">
        <v>0</v>
      </c>
      <c r="E91" t="b">
        <v>0</v>
      </c>
      <c r="F91" t="s">
        <v>192</v>
      </c>
      <c r="H91" s="1" t="str" cm="1">
        <f t="array" ref="H91">CRC16HASH(F91)</f>
        <v>F03B</v>
      </c>
      <c r="I91" t="str">
        <f t="shared" si="2"/>
        <v>{#fig-F03B}</v>
      </c>
      <c r="J91" t="str">
        <f t="shared" si="3"/>
        <v/>
      </c>
    </row>
    <row r="92" spans="1:10" x14ac:dyDescent="0.25">
      <c r="A92">
        <v>93</v>
      </c>
      <c r="B92" t="s">
        <v>99</v>
      </c>
      <c r="C92" t="s">
        <v>4</v>
      </c>
      <c r="D92" t="b">
        <v>1</v>
      </c>
      <c r="E92" t="b">
        <v>1</v>
      </c>
      <c r="F92" t="s">
        <v>193</v>
      </c>
      <c r="G92" t="s">
        <v>76</v>
      </c>
      <c r="H92" s="1" t="str" cm="1">
        <f t="array" ref="H92">CRC16HASH(F92)</f>
        <v>18B7</v>
      </c>
      <c r="I92" t="str">
        <f t="shared" si="2"/>
        <v>{#fig-18B7}</v>
      </c>
      <c r="J92" t="str">
        <f t="shared" si="3"/>
        <v>![Granting permissions to the MCP Toolkit app](figures/ad/ss_mcp_005_ann.png){#fig-18B7}</v>
      </c>
    </row>
    <row r="93" spans="1:10" x14ac:dyDescent="0.25">
      <c r="A93">
        <v>94</v>
      </c>
      <c r="B93" t="s">
        <v>99</v>
      </c>
      <c r="C93" t="s">
        <v>4</v>
      </c>
      <c r="D93" t="b">
        <v>0</v>
      </c>
      <c r="E93" t="b">
        <v>0</v>
      </c>
      <c r="F93" t="s">
        <v>194</v>
      </c>
      <c r="H93" s="1" t="str" cm="1">
        <f t="array" ref="H93">CRC16HASH(F93)</f>
        <v>B434</v>
      </c>
      <c r="I93" t="str">
        <f t="shared" si="2"/>
        <v>{#fig-B434}</v>
      </c>
      <c r="J93" t="str">
        <f t="shared" si="3"/>
        <v/>
      </c>
    </row>
    <row r="94" spans="1:10" x14ac:dyDescent="0.25">
      <c r="A94">
        <v>95</v>
      </c>
      <c r="B94" t="s">
        <v>99</v>
      </c>
      <c r="C94" t="s">
        <v>4</v>
      </c>
      <c r="D94" t="b">
        <v>1</v>
      </c>
      <c r="E94" t="b">
        <v>1</v>
      </c>
      <c r="F94" t="s">
        <v>195</v>
      </c>
      <c r="G94" t="s">
        <v>77</v>
      </c>
      <c r="H94" s="1" t="str" cm="1">
        <f t="array" ref="H94">CRC16HASH(F94)</f>
        <v>E8A3</v>
      </c>
      <c r="I94" t="str">
        <f t="shared" si="2"/>
        <v>{#fig-E8A3}</v>
      </c>
      <c r="J94" t="str">
        <f t="shared" si="3"/>
        <v>![Successful authentication to the MCP Toolkit app](figures/ad/ss_mcp_006_ann.png){#fig-E8A3}</v>
      </c>
    </row>
    <row r="95" spans="1:10" x14ac:dyDescent="0.25">
      <c r="A95">
        <v>96</v>
      </c>
      <c r="B95" t="s">
        <v>99</v>
      </c>
      <c r="C95" t="s">
        <v>4</v>
      </c>
      <c r="D95" t="b">
        <v>0</v>
      </c>
      <c r="E95" t="b">
        <v>0</v>
      </c>
      <c r="F95" t="s">
        <v>196</v>
      </c>
      <c r="H95" s="1" t="str" cm="1">
        <f t="array" ref="H95">CRC16HASH(F95)</f>
        <v>E34B</v>
      </c>
      <c r="I95" t="str">
        <f t="shared" si="2"/>
        <v>{#fig-E34B}</v>
      </c>
      <c r="J95" t="str">
        <f t="shared" si="3"/>
        <v/>
      </c>
    </row>
    <row r="96" spans="1:10" x14ac:dyDescent="0.25">
      <c r="A96">
        <v>97</v>
      </c>
      <c r="B96" t="s">
        <v>99</v>
      </c>
      <c r="C96" t="s">
        <v>4</v>
      </c>
      <c r="D96" t="b">
        <v>1</v>
      </c>
      <c r="E96" t="b">
        <v>1</v>
      </c>
      <c r="F96" t="s">
        <v>197</v>
      </c>
      <c r="G96" t="s">
        <v>62</v>
      </c>
      <c r="H96" s="1" t="str" cm="1">
        <f t="array" ref="H96">CRC16HASH(F96)</f>
        <v>23F7</v>
      </c>
      <c r="I96" t="str">
        <f t="shared" si="2"/>
        <v>{#fig-23F7}</v>
      </c>
      <c r="J96" t="str">
        <f t="shared" si="3"/>
        <v>![The Cosmos DB screen in the Azure Portal](figures/ad/ss_cosmos_001_ann.png){#fig-23F7}</v>
      </c>
    </row>
    <row r="97" spans="1:10" x14ac:dyDescent="0.25">
      <c r="A97">
        <v>98</v>
      </c>
      <c r="B97" t="s">
        <v>99</v>
      </c>
      <c r="C97" t="s">
        <v>4</v>
      </c>
      <c r="D97" t="b">
        <v>0</v>
      </c>
      <c r="E97" t="b">
        <v>0</v>
      </c>
      <c r="F97" t="s">
        <v>198</v>
      </c>
      <c r="H97" s="1" t="str" cm="1">
        <f t="array" ref="H97">CRC16HASH(F97)</f>
        <v>A744</v>
      </c>
      <c r="I97" t="str">
        <f t="shared" si="2"/>
        <v>{#fig-A744}</v>
      </c>
      <c r="J97" t="str">
        <f t="shared" si="3"/>
        <v/>
      </c>
    </row>
    <row r="98" spans="1:10" x14ac:dyDescent="0.25">
      <c r="A98">
        <v>99</v>
      </c>
      <c r="B98" t="s">
        <v>99</v>
      </c>
      <c r="C98" t="s">
        <v>4</v>
      </c>
      <c r="D98" t="b">
        <v>1</v>
      </c>
      <c r="E98" t="b">
        <v>1</v>
      </c>
      <c r="F98" t="s">
        <v>199</v>
      </c>
      <c r="G98" t="s">
        <v>63</v>
      </c>
      <c r="H98" s="1" t="str" cm="1">
        <f t="array" ref="H98">CRC16HASH(F98)</f>
        <v>D3E3</v>
      </c>
      <c r="I98" t="str">
        <f t="shared" si="2"/>
        <v>{#fig-D3E3}</v>
      </c>
      <c r="J98" t="str">
        <f t="shared" si="3"/>
        <v>![Locating your Cosmos DB URI and Key](figures/ad/ss_cosmos_002_ann.png){#fig-D3E3}</v>
      </c>
    </row>
    <row r="99" spans="1:10" x14ac:dyDescent="0.25">
      <c r="A99">
        <v>100</v>
      </c>
      <c r="B99" t="s">
        <v>99</v>
      </c>
      <c r="C99" t="s">
        <v>4</v>
      </c>
      <c r="D99" t="b">
        <v>0</v>
      </c>
      <c r="E99" t="b">
        <v>0</v>
      </c>
      <c r="F99" t="s">
        <v>200</v>
      </c>
      <c r="H99" s="1" t="str" cm="1">
        <f t="array" ref="H99">CRC16HASH(F99)</f>
        <v>5B40</v>
      </c>
      <c r="I99" t="str">
        <f t="shared" si="2"/>
        <v>{#fig-5B40}</v>
      </c>
      <c r="J99" t="str">
        <f t="shared" si="3"/>
        <v/>
      </c>
    </row>
    <row r="100" spans="1:10" x14ac:dyDescent="0.25">
      <c r="A100">
        <v>101</v>
      </c>
      <c r="B100" t="s">
        <v>99</v>
      </c>
      <c r="C100" t="s">
        <v>4</v>
      </c>
      <c r="D100" t="b">
        <v>1</v>
      </c>
      <c r="E100" t="b">
        <v>1</v>
      </c>
      <c r="F100" t="s">
        <v>201</v>
      </c>
      <c r="G100" t="s">
        <v>64</v>
      </c>
      <c r="H100" s="1" t="str" cm="1">
        <f t="array" ref="H100">CRC16HASH(F100)</f>
        <v>43EE</v>
      </c>
      <c r="I100" t="str">
        <f t="shared" si="2"/>
        <v>{#fig-43EE}</v>
      </c>
      <c r="J100" t="str">
        <f t="shared" si="3"/>
        <v>![Adding another Tool to your Agent](figures/ad/ss_cosmos_003_ann.png){#fig-43EE}</v>
      </c>
    </row>
    <row r="101" spans="1:10" x14ac:dyDescent="0.25">
      <c r="A101">
        <v>102</v>
      </c>
      <c r="B101" t="s">
        <v>99</v>
      </c>
      <c r="C101" t="s">
        <v>4</v>
      </c>
      <c r="D101" t="b">
        <v>0</v>
      </c>
      <c r="E101" t="b">
        <v>0</v>
      </c>
      <c r="F101" t="s">
        <v>202</v>
      </c>
      <c r="H101" s="1" t="str" cm="1">
        <f t="array" ref="H101">CRC16HASH(F101)</f>
        <v>2F5A</v>
      </c>
      <c r="I101" t="str">
        <f t="shared" si="2"/>
        <v>{#fig-2F5A}</v>
      </c>
      <c r="J101" t="str">
        <f t="shared" si="3"/>
        <v/>
      </c>
    </row>
    <row r="102" spans="1:10" x14ac:dyDescent="0.25">
      <c r="A102">
        <v>103</v>
      </c>
      <c r="B102" t="s">
        <v>99</v>
      </c>
      <c r="C102" t="s">
        <v>4</v>
      </c>
      <c r="D102" t="b">
        <v>1</v>
      </c>
      <c r="E102" t="b">
        <v>1</v>
      </c>
      <c r="F102" t="s">
        <v>203</v>
      </c>
      <c r="G102" t="s">
        <v>65</v>
      </c>
      <c r="H102" s="1" t="str" cm="1">
        <f t="array" ref="H102">CRC16HASH(F102)</f>
        <v>73C8</v>
      </c>
      <c r="I102" t="str">
        <f t="shared" si="2"/>
        <v>{#fig-73C8}</v>
      </c>
      <c r="J102" t="str">
        <f t="shared" si="3"/>
        <v>![Locating the Cosmos DB Tool in the Catalog](figures/ad/ss_cosmos_004_ann.png){#fig-73C8}</v>
      </c>
    </row>
    <row r="103" spans="1:10" x14ac:dyDescent="0.25">
      <c r="A103">
        <v>104</v>
      </c>
      <c r="B103" t="s">
        <v>99</v>
      </c>
      <c r="C103" t="s">
        <v>4</v>
      </c>
      <c r="D103" t="b">
        <v>0</v>
      </c>
      <c r="E103" t="b">
        <v>0</v>
      </c>
      <c r="F103" t="s">
        <v>204</v>
      </c>
      <c r="H103" s="1" t="str" cm="1">
        <f t="array" ref="H103">CRC16HASH(F103)</f>
        <v>D35E</v>
      </c>
      <c r="I103" t="str">
        <f t="shared" si="2"/>
        <v>{#fig-D35E}</v>
      </c>
      <c r="J103" t="str">
        <f t="shared" si="3"/>
        <v/>
      </c>
    </row>
    <row r="104" spans="1:10" x14ac:dyDescent="0.25">
      <c r="A104">
        <v>105</v>
      </c>
      <c r="B104" t="s">
        <v>99</v>
      </c>
      <c r="C104" t="s">
        <v>4</v>
      </c>
      <c r="D104" t="b">
        <v>1</v>
      </c>
      <c r="E104" t="b">
        <v>1</v>
      </c>
      <c r="F104" t="s">
        <v>205</v>
      </c>
      <c r="G104" t="s">
        <v>67</v>
      </c>
      <c r="H104" s="1" t="str" cm="1">
        <f t="array" ref="H104">CRC16HASH(F104)</f>
        <v>E3C5</v>
      </c>
      <c r="I104" t="str">
        <f t="shared" si="2"/>
        <v>{#fig-E3C5}</v>
      </c>
      <c r="J104" t="str">
        <f t="shared" si="3"/>
        <v>![Information about hosting MCP servers](figures/ad/ss_cosmos_005_ann.png){#fig-E3C5}</v>
      </c>
    </row>
    <row r="105" spans="1:10" x14ac:dyDescent="0.25">
      <c r="A105">
        <v>106</v>
      </c>
      <c r="B105" t="s">
        <v>99</v>
      </c>
      <c r="C105" t="s">
        <v>4</v>
      </c>
      <c r="D105" t="b">
        <v>0</v>
      </c>
      <c r="E105" t="b">
        <v>0</v>
      </c>
      <c r="F105" t="s">
        <v>206</v>
      </c>
      <c r="H105" s="1" t="str" cm="1">
        <f t="array" ref="H105">CRC16HASH(F105)</f>
        <v>9751</v>
      </c>
      <c r="I105" t="str">
        <f t="shared" si="2"/>
        <v>{#fig-9751}</v>
      </c>
      <c r="J105" t="str">
        <f t="shared" si="3"/>
        <v/>
      </c>
    </row>
    <row r="106" spans="1:10" x14ac:dyDescent="0.25">
      <c r="A106">
        <v>107</v>
      </c>
      <c r="B106" t="s">
        <v>99</v>
      </c>
      <c r="C106" t="s">
        <v>4</v>
      </c>
      <c r="D106" t="b">
        <v>1</v>
      </c>
      <c r="E106" t="b">
        <v>1</v>
      </c>
      <c r="F106" t="s">
        <v>207</v>
      </c>
      <c r="G106" t="s">
        <v>78</v>
      </c>
      <c r="H106" s="1" t="str" cm="1">
        <f t="array" ref="H106">CRC16HASH(F106)</f>
        <v>13D1</v>
      </c>
      <c r="I106" t="str">
        <f t="shared" si="2"/>
        <v>{#fig-13D1}</v>
      </c>
      <c r="J106" t="str">
        <f t="shared" si="3"/>
        <v>![Filling in the URI and authentication for the Cosmos DB Tool connection](figures/ad/ss_cosmos_006_ann.png){#fig-13D1}</v>
      </c>
    </row>
    <row r="107" spans="1:10" x14ac:dyDescent="0.25">
      <c r="A107">
        <v>108</v>
      </c>
      <c r="B107" t="s">
        <v>99</v>
      </c>
      <c r="C107" t="s">
        <v>4</v>
      </c>
      <c r="D107" t="b">
        <v>0</v>
      </c>
      <c r="E107" t="b">
        <v>0</v>
      </c>
      <c r="F107" t="s">
        <v>208</v>
      </c>
      <c r="H107" s="1" t="str" cm="1">
        <f t="array" ref="H107">CRC16HASH(F107)</f>
        <v>6B55</v>
      </c>
      <c r="I107" t="str">
        <f t="shared" si="2"/>
        <v>{#fig-6B55}</v>
      </c>
      <c r="J107" t="str">
        <f t="shared" si="3"/>
        <v/>
      </c>
    </row>
    <row r="108" spans="1:10" x14ac:dyDescent="0.25">
      <c r="A108">
        <v>109</v>
      </c>
      <c r="B108" t="s">
        <v>99</v>
      </c>
      <c r="C108" t="s">
        <v>4</v>
      </c>
      <c r="D108" t="b">
        <v>1</v>
      </c>
      <c r="E108" t="b">
        <v>1</v>
      </c>
      <c r="F108" t="s">
        <v>209</v>
      </c>
      <c r="G108" t="s">
        <v>66</v>
      </c>
      <c r="H108" s="1" t="str" cm="1">
        <f t="array" ref="H108">CRC16HASH(F108)</f>
        <v>83DC</v>
      </c>
      <c r="I108" t="str">
        <f t="shared" si="2"/>
        <v>{#fig-83DC}</v>
      </c>
      <c r="J108" t="str">
        <f t="shared" si="3"/>
        <v>![Checking that your Cosmos DB Tool is connected](figures/ad/ss_cosmos_007_ann.png){#fig-83DC}</v>
      </c>
    </row>
    <row r="109" spans="1:10" x14ac:dyDescent="0.25">
      <c r="A109">
        <v>110</v>
      </c>
      <c r="B109" t="s">
        <v>99</v>
      </c>
      <c r="C109" t="s">
        <v>4</v>
      </c>
      <c r="D109" t="b">
        <v>0</v>
      </c>
      <c r="E109" t="b">
        <v>0</v>
      </c>
      <c r="F109" t="s">
        <v>210</v>
      </c>
      <c r="H109" s="1" t="str" cm="1">
        <f t="array" ref="H109">CRC16HASH(F109)</f>
        <v>7F65</v>
      </c>
      <c r="I109" t="str">
        <f t="shared" si="2"/>
        <v>{#fig-7F65}</v>
      </c>
      <c r="J109" t="str">
        <f t="shared" si="3"/>
        <v/>
      </c>
    </row>
    <row r="110" spans="1:10" x14ac:dyDescent="0.25">
      <c r="A110">
        <v>111</v>
      </c>
      <c r="B110" t="s">
        <v>99</v>
      </c>
      <c r="C110" t="s">
        <v>4</v>
      </c>
      <c r="D110" t="b">
        <v>1</v>
      </c>
      <c r="E110" t="b">
        <v>1</v>
      </c>
      <c r="F110" t="s">
        <v>211</v>
      </c>
      <c r="G110" t="s">
        <v>79</v>
      </c>
      <c r="H110" s="1" t="str" cm="1">
        <f t="array" ref="H110">CRC16HASH(F110)</f>
        <v>739D</v>
      </c>
      <c r="I110" t="str">
        <f t="shared" si="2"/>
        <v>{#fig-739D}</v>
      </c>
      <c r="J110" t="str">
        <f t="shared" si="3"/>
        <v>![Checking the Cosmos DB Tool usage in the Agent response](figures/ad/ss_cosmos_008_ann.png){#fig-739D}</v>
      </c>
    </row>
    <row r="111" spans="1:10" x14ac:dyDescent="0.25">
      <c r="A111">
        <v>112</v>
      </c>
      <c r="B111" t="s">
        <v>99</v>
      </c>
      <c r="C111" t="s">
        <v>4</v>
      </c>
      <c r="D111" t="b">
        <v>0</v>
      </c>
      <c r="E111" t="b">
        <v>1</v>
      </c>
      <c r="F111" t="s">
        <v>212</v>
      </c>
      <c r="G111" t="s">
        <v>80</v>
      </c>
      <c r="H111" s="1" t="str" cm="1">
        <f t="array" ref="H111">CRC16HASH(F111)</f>
        <v>8361</v>
      </c>
      <c r="I111" t="str">
        <f t="shared" si="2"/>
        <v>{#fig-8361}</v>
      </c>
      <c r="J111" t="str">
        <f t="shared" si="3"/>
        <v>![A successful Cosmos DB Tool call and augmented Agent response](figures/ad/ss_cosmos_009_clean.png){#fig-8361}</v>
      </c>
    </row>
    <row r="112" spans="1:10" x14ac:dyDescent="0.25">
      <c r="A112">
        <v>113</v>
      </c>
      <c r="B112" t="s">
        <v>99</v>
      </c>
      <c r="C112" t="s">
        <v>4</v>
      </c>
      <c r="D112" t="b">
        <v>0</v>
      </c>
      <c r="E112" t="b">
        <v>0</v>
      </c>
      <c r="F112" t="s">
        <v>213</v>
      </c>
      <c r="H112" s="1" t="str" cm="1">
        <f t="array" ref="H112">CRC16HASH(F112)</f>
        <v>682</v>
      </c>
      <c r="I112" t="str">
        <f t="shared" si="2"/>
        <v>{#fig-682}</v>
      </c>
      <c r="J112" t="str">
        <f t="shared" si="3"/>
        <v/>
      </c>
    </row>
    <row r="113" spans="1:10" x14ac:dyDescent="0.25">
      <c r="A113">
        <v>114</v>
      </c>
      <c r="B113" t="s">
        <v>99</v>
      </c>
      <c r="C113" t="s">
        <v>4</v>
      </c>
      <c r="D113" t="b">
        <v>1</v>
      </c>
      <c r="E113" t="b">
        <v>1</v>
      </c>
      <c r="F113" t="s">
        <v>214</v>
      </c>
      <c r="G113" t="s">
        <v>68</v>
      </c>
      <c r="H113" s="1" t="str" cm="1">
        <f t="array" ref="H113">CRC16HASH(F113)</f>
        <v>5117</v>
      </c>
      <c r="I113" t="str">
        <f t="shared" ref="I113:I124" si="4">_xlfn.CONCAT("{#fig-",H113,"}")</f>
        <v>{#fig-5117}</v>
      </c>
      <c r="J113" t="str">
        <f t="shared" ref="J113:J124" si="5">IF(E113,_xlfn.CONCAT("![",G113,"](figures/",B113,"/",F113,")",I113),"")</f>
        <v>![Creating a new Cosmos DB container](figures/ad/ss_database_001_ann.png){#fig-5117}</v>
      </c>
    </row>
    <row r="114" spans="1:10" x14ac:dyDescent="0.25">
      <c r="A114">
        <v>115</v>
      </c>
      <c r="B114" t="s">
        <v>99</v>
      </c>
      <c r="C114" t="s">
        <v>4</v>
      </c>
      <c r="D114" t="b">
        <v>0</v>
      </c>
      <c r="E114" t="b">
        <v>0</v>
      </c>
      <c r="F114" t="s">
        <v>215</v>
      </c>
      <c r="H114" s="1" t="str" cm="1">
        <f t="array" ref="H114">CRC16HASH(F114)</f>
        <v>428D</v>
      </c>
      <c r="I114" t="str">
        <f t="shared" si="4"/>
        <v>{#fig-428D}</v>
      </c>
      <c r="J114" t="str">
        <f t="shared" si="5"/>
        <v/>
      </c>
    </row>
    <row r="115" spans="1:10" x14ac:dyDescent="0.25">
      <c r="A115">
        <v>116</v>
      </c>
      <c r="B115" t="s">
        <v>99</v>
      </c>
      <c r="C115" t="s">
        <v>4</v>
      </c>
      <c r="D115" t="b">
        <v>1</v>
      </c>
      <c r="E115" t="b">
        <v>1</v>
      </c>
      <c r="F115" t="s">
        <v>216</v>
      </c>
      <c r="G115" t="s">
        <v>71</v>
      </c>
      <c r="H115" s="1" t="str" cm="1">
        <f t="array" ref="H115">CRC16HASH(F115)</f>
        <v>A103</v>
      </c>
      <c r="I115" t="str">
        <f t="shared" si="4"/>
        <v>{#fig-A103}</v>
      </c>
      <c r="J115" t="str">
        <f t="shared" si="5"/>
        <v>![Creating a new Cosmos DB database](figures/ad/ss_database_002_ann.png){#fig-A103}</v>
      </c>
    </row>
    <row r="116" spans="1:10" x14ac:dyDescent="0.25">
      <c r="A116">
        <v>117</v>
      </c>
      <c r="B116" t="s">
        <v>99</v>
      </c>
      <c r="C116" t="s">
        <v>4</v>
      </c>
      <c r="D116" t="b">
        <v>0</v>
      </c>
      <c r="E116" t="b">
        <v>0</v>
      </c>
      <c r="F116" t="s">
        <v>217</v>
      </c>
      <c r="H116" s="1" t="str" cm="1">
        <f t="array" ref="H116">CRC16HASH(F116)</f>
        <v>BE89</v>
      </c>
      <c r="I116" t="str">
        <f t="shared" si="4"/>
        <v>{#fig-BE89}</v>
      </c>
      <c r="J116" t="str">
        <f t="shared" si="5"/>
        <v/>
      </c>
    </row>
    <row r="117" spans="1:10" x14ac:dyDescent="0.25">
      <c r="A117">
        <v>118</v>
      </c>
      <c r="B117" t="s">
        <v>99</v>
      </c>
      <c r="C117" t="s">
        <v>4</v>
      </c>
      <c r="D117" t="b">
        <v>1</v>
      </c>
      <c r="E117" t="b">
        <v>1</v>
      </c>
      <c r="F117" t="s">
        <v>218</v>
      </c>
      <c r="G117" t="s">
        <v>69</v>
      </c>
      <c r="H117" s="1" t="str" cm="1">
        <f t="array" ref="H117">CRC16HASH(F117)</f>
        <v>310E</v>
      </c>
      <c r="I117" t="str">
        <f t="shared" si="4"/>
        <v>{#fig-310E}</v>
      </c>
      <c r="J117" t="str">
        <f t="shared" si="5"/>
        <v>![Uploading property records to your database](figures/ad/ss_database_003_ann.png){#fig-310E}</v>
      </c>
    </row>
    <row r="118" spans="1:10" x14ac:dyDescent="0.25">
      <c r="A118">
        <v>119</v>
      </c>
      <c r="B118" t="s">
        <v>99</v>
      </c>
      <c r="C118" t="s">
        <v>4</v>
      </c>
      <c r="D118" t="b">
        <v>0</v>
      </c>
      <c r="E118" t="b">
        <v>1</v>
      </c>
      <c r="F118" t="s">
        <v>219</v>
      </c>
      <c r="G118" t="s">
        <v>70</v>
      </c>
      <c r="H118" s="1" t="str" cm="1">
        <f t="array" ref="H118">CRC16HASH(F118)</f>
        <v>CA93</v>
      </c>
      <c r="I118" t="str">
        <f t="shared" si="4"/>
        <v>{#fig-CA93}</v>
      </c>
      <c r="J118" t="str">
        <f t="shared" si="5"/>
        <v>![Listing your property records](figures/ad/ss_database_004_clean.png){#fig-CA93}</v>
      </c>
    </row>
    <row r="119" spans="1:10" x14ac:dyDescent="0.25">
      <c r="A119">
        <v>120</v>
      </c>
      <c r="B119" t="s">
        <v>100</v>
      </c>
      <c r="C119" t="s">
        <v>6</v>
      </c>
      <c r="D119" t="b">
        <v>0</v>
      </c>
      <c r="E119" t="b">
        <v>1</v>
      </c>
      <c r="F119" t="s">
        <v>150</v>
      </c>
      <c r="G119" t="s">
        <v>84</v>
      </c>
      <c r="H119" s="1" t="str" cm="1">
        <f t="array" ref="H119">CRC16HASH(F119)</f>
        <v>2B5B</v>
      </c>
      <c r="I119" t="str">
        <f t="shared" si="4"/>
        <v>{#fig-2B5B}</v>
      </c>
      <c r="J119" t="str">
        <f t="shared" si="5"/>
        <v>![Orchestrating multi-source, complex RAG pipelines](figures/kb/il_layers_001.png){#fig-2B5B}</v>
      </c>
    </row>
    <row r="120" spans="1:10" x14ac:dyDescent="0.25">
      <c r="A120">
        <v>121</v>
      </c>
      <c r="B120" t="s">
        <v>100</v>
      </c>
      <c r="C120" t="s">
        <v>6</v>
      </c>
      <c r="D120" t="b">
        <v>0</v>
      </c>
      <c r="E120" t="b">
        <v>1</v>
      </c>
      <c r="F120" t="s">
        <v>230</v>
      </c>
      <c r="G120" t="s">
        <v>229</v>
      </c>
      <c r="H120" s="1" t="str" cm="1">
        <f t="array" ref="H120">CRC16HASH(F120)</f>
        <v>E787</v>
      </c>
      <c r="I120" t="str">
        <f t="shared" si="4"/>
        <v>{#fig-E787}</v>
      </c>
      <c r="J120" t="str">
        <f t="shared" si="5"/>
        <v>![Building a multi-source Agent for financial insights](figures/kb/il_multisource_001.png){#fig-E787}</v>
      </c>
    </row>
    <row r="121" spans="1:10" x14ac:dyDescent="0.25">
      <c r="A121">
        <v>122</v>
      </c>
      <c r="B121" t="s">
        <v>100</v>
      </c>
      <c r="C121" t="s">
        <v>4</v>
      </c>
      <c r="D121" t="b">
        <v>0</v>
      </c>
      <c r="E121" t="b">
        <v>0</v>
      </c>
      <c r="F121" t="s">
        <v>223</v>
      </c>
      <c r="H121" s="1" t="str" cm="1">
        <f t="array" ref="H121">CRC16HASH(F121)</f>
        <v>6B1C</v>
      </c>
      <c r="I121" t="str">
        <f t="shared" si="4"/>
        <v>{#fig-6B1C}</v>
      </c>
      <c r="J121" t="str">
        <f t="shared" si="5"/>
        <v/>
      </c>
    </row>
    <row r="122" spans="1:10" x14ac:dyDescent="0.25">
      <c r="A122">
        <v>123</v>
      </c>
      <c r="B122" t="s">
        <v>100</v>
      </c>
      <c r="C122" t="s">
        <v>4</v>
      </c>
      <c r="D122" t="b">
        <v>1</v>
      </c>
      <c r="E122" t="b">
        <v>1</v>
      </c>
      <c r="F122" t="s">
        <v>224</v>
      </c>
      <c r="G122" t="s">
        <v>225</v>
      </c>
      <c r="H122" s="1" t="str" cm="1">
        <f t="array" ref="H122">CRC16HASH(F122)</f>
        <v>33E</v>
      </c>
      <c r="I122" t="str">
        <f t="shared" si="4"/>
        <v>{#fig-33E}</v>
      </c>
      <c r="J122" t="str">
        <f t="shared" si="5"/>
        <v>![Connecting to an Azure AI Search resource](figures/kb/ss_knowledge_001_ann.png){#fig-33E}</v>
      </c>
    </row>
    <row r="123" spans="1:10" x14ac:dyDescent="0.25">
      <c r="A123">
        <v>124</v>
      </c>
      <c r="B123" t="s">
        <v>100</v>
      </c>
      <c r="C123" t="s">
        <v>4</v>
      </c>
      <c r="D123" t="b">
        <v>0</v>
      </c>
      <c r="E123" t="b">
        <v>0</v>
      </c>
      <c r="F123" t="s">
        <v>226</v>
      </c>
      <c r="H123" s="1" t="str" cm="1">
        <f t="array" ref="H123">CRC16HASH(F123)</f>
        <v>2F13</v>
      </c>
      <c r="I123" t="str">
        <f t="shared" si="4"/>
        <v>{#fig-2F13}</v>
      </c>
      <c r="J123" t="str">
        <f t="shared" si="5"/>
        <v/>
      </c>
    </row>
    <row r="124" spans="1:10" x14ac:dyDescent="0.25">
      <c r="A124">
        <v>125</v>
      </c>
      <c r="B124" t="s">
        <v>100</v>
      </c>
      <c r="C124" t="s">
        <v>4</v>
      </c>
      <c r="D124" t="b">
        <v>1</v>
      </c>
      <c r="E124" t="b">
        <v>1</v>
      </c>
      <c r="F124" t="s">
        <v>227</v>
      </c>
      <c r="G124" t="s">
        <v>228</v>
      </c>
      <c r="H124" s="1" t="str" cm="1">
        <f t="array" ref="H124">CRC16HASH(F124)</f>
        <v>F32A</v>
      </c>
      <c r="I124" t="str">
        <f t="shared" si="4"/>
        <v>{#fig-F32A}</v>
      </c>
      <c r="J124" t="str">
        <f t="shared" si="5"/>
        <v>![Creating a new Knowledge Base](figures/kb/ss_knowledge_002_ann.png){#fig-F32A}</v>
      </c>
    </row>
    <row r="125" spans="1:10" x14ac:dyDescent="0.25">
      <c r="A125">
        <v>126</v>
      </c>
      <c r="B125" t="s">
        <v>100</v>
      </c>
      <c r="C125" t="s">
        <v>4</v>
      </c>
      <c r="D125" t="b">
        <v>0</v>
      </c>
      <c r="E125" t="b">
        <v>0</v>
      </c>
      <c r="F125" t="s">
        <v>231</v>
      </c>
      <c r="G125" t="s">
        <v>232</v>
      </c>
      <c r="H125" s="1" t="str" cm="1">
        <f t="array" ref="H125">CRC16HASH(F125)</f>
        <v>D317</v>
      </c>
      <c r="I125" t="str">
        <f t="shared" ref="I125:I129" si="6">_xlfn.CONCAT("{#fig-",H125,"}")</f>
        <v>{#fig-D317}</v>
      </c>
      <c r="J125" t="str">
        <f t="shared" ref="J125:J129" si="7">IF(E125,_xlfn.CONCAT("![",G125,"](figures/",B125,"/",F125,")",I125),"")</f>
        <v/>
      </c>
    </row>
    <row r="126" spans="1:10" x14ac:dyDescent="0.25">
      <c r="B126" t="s">
        <v>101</v>
      </c>
      <c r="C126" t="s">
        <v>4</v>
      </c>
      <c r="D126" t="b">
        <v>0</v>
      </c>
      <c r="E126" t="b">
        <v>0</v>
      </c>
      <c r="F126" t="s">
        <v>233</v>
      </c>
      <c r="H126" s="1" t="str" cm="1">
        <f t="array" ref="H126">CRC16HASH(F126)</f>
        <v>8E61</v>
      </c>
      <c r="I126" t="str">
        <f t="shared" si="6"/>
        <v>{#fig-8E61}</v>
      </c>
      <c r="J126" t="str">
        <f t="shared" si="7"/>
        <v/>
      </c>
    </row>
    <row r="127" spans="1:10" x14ac:dyDescent="0.25">
      <c r="B127" t="s">
        <v>101</v>
      </c>
      <c r="C127" t="s">
        <v>4</v>
      </c>
      <c r="D127" t="b">
        <v>1</v>
      </c>
      <c r="E127" t="b">
        <v>1</v>
      </c>
      <c r="F127" t="s">
        <v>234</v>
      </c>
      <c r="G127" t="s">
        <v>238</v>
      </c>
      <c r="H127" s="1" t="str" cm="1">
        <f t="array" ref="H127">CRC16HASH(F127)</f>
        <v>706E</v>
      </c>
      <c r="I127" t="str">
        <f t="shared" si="6"/>
        <v>{#fig-706E}</v>
      </c>
      <c r="J127" t="str">
        <f t="shared" si="7"/>
        <v>![Creating a new fine-tuning job](figures/ft/ss_finetune_001_ann.png){#fig-706E}</v>
      </c>
    </row>
    <row r="128" spans="1:10" x14ac:dyDescent="0.25">
      <c r="B128" t="s">
        <v>101</v>
      </c>
      <c r="C128" t="s">
        <v>4</v>
      </c>
      <c r="D128" t="b">
        <v>0</v>
      </c>
      <c r="E128" t="b">
        <v>0</v>
      </c>
      <c r="F128" t="s">
        <v>235</v>
      </c>
      <c r="H128" s="1" t="str" cm="1">
        <f t="array" ref="H128">CRC16HASH(F128)</f>
        <v>CA6E</v>
      </c>
      <c r="I128" t="str">
        <f t="shared" si="6"/>
        <v>{#fig-CA6E}</v>
      </c>
      <c r="J128" t="str">
        <f t="shared" si="7"/>
        <v/>
      </c>
    </row>
    <row r="129" spans="2:10" x14ac:dyDescent="0.25">
      <c r="B129" t="s">
        <v>101</v>
      </c>
      <c r="C129" t="s">
        <v>4</v>
      </c>
      <c r="D129" t="b">
        <v>1</v>
      </c>
      <c r="E129" t="b">
        <v>1</v>
      </c>
      <c r="F129" t="s">
        <v>236</v>
      </c>
      <c r="G129" t="s">
        <v>237</v>
      </c>
      <c r="H129" s="1" t="str" cm="1">
        <f t="array" ref="H129">CRC16HASH(F129)</f>
        <v>807A</v>
      </c>
      <c r="I129" t="str">
        <f t="shared" si="6"/>
        <v>{#fig-807A}</v>
      </c>
      <c r="J129" t="str">
        <f t="shared" si="7"/>
        <v>![Defining the fine-tuning job setting](figures/ft/ss_finetune_002_ann.png){#fig-807A}</v>
      </c>
    </row>
    <row r="130" spans="2:10" x14ac:dyDescent="0.25">
      <c r="B130" t="s">
        <v>101</v>
      </c>
      <c r="C130" t="s">
        <v>4</v>
      </c>
      <c r="D130" t="b">
        <v>0</v>
      </c>
      <c r="E130" t="b">
        <v>0</v>
      </c>
      <c r="F130" t="s">
        <v>239</v>
      </c>
      <c r="H130" s="1" t="str" cm="1">
        <f t="array" ref="H130">CRC16HASH(F130)</f>
        <v>366A</v>
      </c>
      <c r="I130" t="str">
        <f t="shared" ref="I130:I132" si="8">_xlfn.CONCAT("{#fig-",H130,"}")</f>
        <v>{#fig-366A}</v>
      </c>
      <c r="J130" t="str">
        <f t="shared" ref="J130:J147" si="9">IF(E130,_xlfn.CONCAT("![",G130,"](figures/",B130,"/",F130,")",I130),"")</f>
        <v/>
      </c>
    </row>
    <row r="131" spans="2:10" x14ac:dyDescent="0.25">
      <c r="B131" t="s">
        <v>101</v>
      </c>
      <c r="C131" t="s">
        <v>4</v>
      </c>
      <c r="D131" t="b">
        <v>0</v>
      </c>
      <c r="E131" t="b">
        <v>0</v>
      </c>
      <c r="F131" t="s">
        <v>240</v>
      </c>
      <c r="H131" s="1" t="str" cm="1">
        <f t="array" ref="H131">CRC16HASH(F131)</f>
        <v>394C</v>
      </c>
      <c r="I131" t="str">
        <f t="shared" si="8"/>
        <v>{#fig-394C}</v>
      </c>
      <c r="J131" t="str">
        <f t="shared" si="9"/>
        <v/>
      </c>
    </row>
    <row r="132" spans="2:10" x14ac:dyDescent="0.25">
      <c r="B132" t="s">
        <v>101</v>
      </c>
      <c r="C132" t="s">
        <v>4</v>
      </c>
      <c r="D132" t="b">
        <v>1</v>
      </c>
      <c r="E132" t="b">
        <v>1</v>
      </c>
      <c r="F132" t="s">
        <v>241</v>
      </c>
      <c r="G132" t="s">
        <v>242</v>
      </c>
      <c r="H132" s="1" t="str" cm="1">
        <f t="array" ref="H132">CRC16HASH(F132)</f>
        <v>1077</v>
      </c>
      <c r="I132" t="str">
        <f t="shared" si="8"/>
        <v>{#fig-1077}</v>
      </c>
      <c r="J132" t="str">
        <f t="shared" si="9"/>
        <v>![Viewing the status of your new tuning job](figures/ft/ss_finetune_003_ann.png){#fig-1077}</v>
      </c>
    </row>
    <row r="133" spans="2:10" x14ac:dyDescent="0.25">
      <c r="B133" t="s">
        <v>101</v>
      </c>
      <c r="C133" t="s">
        <v>4</v>
      </c>
      <c r="D133" t="b">
        <v>0</v>
      </c>
      <c r="E133" t="b">
        <v>0</v>
      </c>
      <c r="F133" t="s">
        <v>243</v>
      </c>
      <c r="H133" s="1" t="str" cm="1">
        <f t="array" ref="H133">CRC16HASH(F133)</f>
        <v>4270</v>
      </c>
      <c r="I133" t="str">
        <f t="shared" ref="I133:I147" si="10">_xlfn.CONCAT("{#fig-",H133,"}")</f>
        <v>{#fig-4270}</v>
      </c>
      <c r="J133" t="str">
        <f t="shared" si="9"/>
        <v/>
      </c>
    </row>
    <row r="134" spans="2:10" x14ac:dyDescent="0.25">
      <c r="B134" t="s">
        <v>101</v>
      </c>
      <c r="C134" t="s">
        <v>4</v>
      </c>
      <c r="D134" t="b">
        <v>0</v>
      </c>
      <c r="E134" t="b">
        <v>0</v>
      </c>
      <c r="F134" t="s">
        <v>250</v>
      </c>
      <c r="H134" s="1" t="str" cm="1">
        <f t="array" ref="H134">CRC16HASH(F134)</f>
        <v>BE74</v>
      </c>
      <c r="I134" t="str">
        <f t="shared" si="10"/>
        <v>{#fig-BE74}</v>
      </c>
      <c r="J134" t="str">
        <f t="shared" si="9"/>
        <v/>
      </c>
    </row>
    <row r="135" spans="2:10" x14ac:dyDescent="0.25">
      <c r="B135" t="s">
        <v>101</v>
      </c>
      <c r="C135" t="s">
        <v>4</v>
      </c>
      <c r="D135" t="b">
        <v>1</v>
      </c>
      <c r="E135" t="b">
        <v>1</v>
      </c>
      <c r="F135" t="s">
        <v>251</v>
      </c>
      <c r="G135" t="s">
        <v>252</v>
      </c>
      <c r="H135" s="1" t="str" cm="1">
        <f t="array" ref="H135">CRC16HASH(F135)</f>
        <v>B05C</v>
      </c>
      <c r="I135" t="str">
        <f t="shared" si="10"/>
        <v>{#fig-B05C}</v>
      </c>
      <c r="J135" t="str">
        <f t="shared" si="9"/>
        <v>![The Monitor tab, showing fine-tuning metrics](figures/ft/ss_finetune_005_ann.png){#fig-B05C}</v>
      </c>
    </row>
    <row r="136" spans="2:10" x14ac:dyDescent="0.25">
      <c r="B136" t="s">
        <v>101</v>
      </c>
      <c r="C136" t="s">
        <v>4</v>
      </c>
      <c r="D136" t="b">
        <v>0</v>
      </c>
      <c r="E136" t="b">
        <v>0</v>
      </c>
      <c r="F136" t="s">
        <v>253</v>
      </c>
      <c r="H136" s="1" t="str" cm="1">
        <f t="array" ref="H136">CRC16HASH(F136)</f>
        <v>FA7B</v>
      </c>
      <c r="I136" t="str">
        <f t="shared" si="10"/>
        <v>{#fig-FA7B}</v>
      </c>
      <c r="J136" t="str">
        <f t="shared" si="9"/>
        <v/>
      </c>
    </row>
    <row r="137" spans="2:10" x14ac:dyDescent="0.25">
      <c r="B137" t="s">
        <v>101</v>
      </c>
      <c r="C137" t="s">
        <v>4</v>
      </c>
      <c r="D137" t="b">
        <v>1</v>
      </c>
      <c r="E137" t="b">
        <v>1</v>
      </c>
      <c r="F137" t="s">
        <v>254</v>
      </c>
      <c r="G137" t="s">
        <v>255</v>
      </c>
      <c r="H137" s="1" t="str" cm="1">
        <f t="array" ref="H137">CRC16HASH(F137)</f>
        <v>4048</v>
      </c>
      <c r="I137" t="str">
        <f t="shared" si="10"/>
        <v>{#fig-4048}</v>
      </c>
      <c r="J137" t="str">
        <f t="shared" si="9"/>
        <v>![A completed fine-tuning status and metrics](figures/ft/ss_finetune_006_ann.png){#fig-4048}</v>
      </c>
    </row>
    <row r="138" spans="2:10" x14ac:dyDescent="0.25">
      <c r="B138" t="s">
        <v>101</v>
      </c>
      <c r="C138" t="s">
        <v>4</v>
      </c>
      <c r="D138" t="b">
        <v>0</v>
      </c>
      <c r="E138" t="b">
        <v>0</v>
      </c>
      <c r="F138" t="s">
        <v>257</v>
      </c>
      <c r="H138" s="1" t="str" cm="1">
        <f t="array" ref="H138">CRC16HASH(F138)</f>
        <v>67F</v>
      </c>
      <c r="I138" t="str">
        <f t="shared" ref="I138:I141" si="11">_xlfn.CONCAT("{#fig-",H138,"}")</f>
        <v>{#fig-67F}</v>
      </c>
      <c r="J138" t="str">
        <f t="shared" ref="J138:J141" si="12">IF(E138,_xlfn.CONCAT("![",G138,"](figures/",B138,"/",F138,")",I138),"")</f>
        <v/>
      </c>
    </row>
    <row r="139" spans="2:10" x14ac:dyDescent="0.25">
      <c r="B139" t="s">
        <v>101</v>
      </c>
      <c r="C139" t="s">
        <v>4</v>
      </c>
      <c r="D139" t="b">
        <v>1</v>
      </c>
      <c r="E139" t="b">
        <v>1</v>
      </c>
      <c r="F139" t="s">
        <v>258</v>
      </c>
      <c r="G139" t="s">
        <v>256</v>
      </c>
      <c r="H139" s="1" t="str" cm="1">
        <f t="array" ref="H139">CRC16HASH(F139)</f>
        <v>D045</v>
      </c>
      <c r="I139" t="str">
        <f t="shared" si="11"/>
        <v>{#fig-D045}</v>
      </c>
      <c r="J139" t="str">
        <f t="shared" si="12"/>
        <v>![Customizing the fine-tuned model deployment](figures/ft/ss_finetune_007_ann.png){#fig-D045}</v>
      </c>
    </row>
    <row r="140" spans="2:10" x14ac:dyDescent="0.25">
      <c r="B140" t="s">
        <v>101</v>
      </c>
      <c r="C140" t="s">
        <v>4</v>
      </c>
      <c r="D140" t="b">
        <v>0</v>
      </c>
      <c r="E140" t="b">
        <v>1</v>
      </c>
      <c r="F140" t="s">
        <v>260</v>
      </c>
      <c r="G140" t="s">
        <v>259</v>
      </c>
      <c r="H140" s="1" t="str" cm="1">
        <f t="array" ref="H140">CRC16HASH(F140)</f>
        <v>124F</v>
      </c>
      <c r="I140" t="str">
        <f t="shared" si="11"/>
        <v>{#fig-124F}</v>
      </c>
      <c r="J140" t="str">
        <f t="shared" si="12"/>
        <v>![Adding instructions and playing with your new medical assistant model](figures/ft/ss_finetune_008_clean.png){#fig-124F}</v>
      </c>
    </row>
    <row r="141" spans="2:10" x14ac:dyDescent="0.25">
      <c r="B141" t="s">
        <v>101</v>
      </c>
      <c r="C141" t="s">
        <v>4</v>
      </c>
      <c r="D141" t="b">
        <v>0</v>
      </c>
      <c r="E141" t="b">
        <v>0</v>
      </c>
      <c r="F141" t="s">
        <v>244</v>
      </c>
      <c r="H141" s="1" t="str" cm="1">
        <f t="array" ref="H141">CRC16HASH(F141)</f>
        <v>174F</v>
      </c>
      <c r="I141" t="str">
        <f t="shared" si="11"/>
        <v>{#fig-174F}</v>
      </c>
      <c r="J141" t="str">
        <f t="shared" si="12"/>
        <v/>
      </c>
    </row>
    <row r="142" spans="2:10" x14ac:dyDescent="0.25">
      <c r="B142" t="s">
        <v>101</v>
      </c>
      <c r="C142" t="s">
        <v>4</v>
      </c>
      <c r="D142" t="b">
        <v>1</v>
      </c>
      <c r="E142" t="b">
        <v>1</v>
      </c>
      <c r="F142" t="s">
        <v>245</v>
      </c>
      <c r="G142" t="s">
        <v>249</v>
      </c>
      <c r="H142" s="1" t="str" cm="1">
        <f t="array" ref="H142">CRC16HASH(F142)</f>
        <v>2C04</v>
      </c>
      <c r="I142" t="str">
        <f t="shared" si="10"/>
        <v>{#fig-2C04}</v>
      </c>
      <c r="J142" t="str">
        <f t="shared" si="9"/>
        <v>![Navigating to the Synthetic generation tab](figures/ft/ss_syntheticdata_001_ann.png){#fig-2C04}</v>
      </c>
    </row>
    <row r="143" spans="2:10" x14ac:dyDescent="0.25">
      <c r="B143" t="s">
        <v>101</v>
      </c>
      <c r="C143" t="s">
        <v>4</v>
      </c>
      <c r="D143" t="b">
        <v>0</v>
      </c>
      <c r="E143" t="b">
        <v>0</v>
      </c>
      <c r="F143" t="s">
        <v>246</v>
      </c>
      <c r="H143" s="1" t="str" cm="1">
        <f t="array" ref="H143">CRC16HASH(F143)</f>
        <v>5340</v>
      </c>
      <c r="I143" t="str">
        <f t="shared" si="10"/>
        <v>{#fig-5340}</v>
      </c>
      <c r="J143" t="str">
        <f t="shared" si="9"/>
        <v/>
      </c>
    </row>
    <row r="144" spans="2:10" ht="14.25" customHeight="1" x14ac:dyDescent="0.25">
      <c r="B144" t="s">
        <v>101</v>
      </c>
      <c r="C144" t="s">
        <v>4</v>
      </c>
      <c r="D144" t="b">
        <v>1</v>
      </c>
      <c r="E144" t="b">
        <v>1</v>
      </c>
      <c r="F144" t="s">
        <v>247</v>
      </c>
      <c r="G144" t="s">
        <v>248</v>
      </c>
      <c r="H144" s="1" t="str" cm="1">
        <f t="array" ref="H144">CRC16HASH(F144)</f>
        <v>DC10</v>
      </c>
      <c r="I144" t="str">
        <f t="shared" si="10"/>
        <v>{#fig-DC10}</v>
      </c>
      <c r="J144" t="str">
        <f t="shared" si="9"/>
        <v>![Adding cardiology documents for synthetic data generation](figures/ft/ss_syntheticdata_002_ann.png){#fig-DC10}</v>
      </c>
    </row>
    <row r="145" spans="2:10" x14ac:dyDescent="0.25">
      <c r="B145" t="s">
        <v>101</v>
      </c>
      <c r="C145" t="s">
        <v>4</v>
      </c>
      <c r="D145" t="b">
        <v>0</v>
      </c>
      <c r="E145" t="b">
        <v>0</v>
      </c>
      <c r="F145" t="s">
        <v>261</v>
      </c>
      <c r="H145" s="1" t="str" cm="1">
        <f t="array" ref="H145">CRC16HASH(F145)</f>
        <v>AF44</v>
      </c>
      <c r="I145" t="str">
        <f t="shared" si="10"/>
        <v>{#fig-AF44}</v>
      </c>
      <c r="J145" t="str">
        <f t="shared" si="9"/>
        <v/>
      </c>
    </row>
    <row r="146" spans="2:10" x14ac:dyDescent="0.25">
      <c r="B146" t="s">
        <v>101</v>
      </c>
      <c r="C146" t="s">
        <v>4</v>
      </c>
      <c r="D146" t="b">
        <v>0</v>
      </c>
      <c r="E146" t="b">
        <v>1</v>
      </c>
      <c r="F146" t="s">
        <v>262</v>
      </c>
      <c r="G146" t="s">
        <v>268</v>
      </c>
      <c r="H146" s="1" t="str" cm="1">
        <f t="array" ref="H146">CRC16HASH(F146)</f>
        <v>2555</v>
      </c>
      <c r="I146" t="str">
        <f t="shared" si="10"/>
        <v>{#fig-2555}</v>
      </c>
      <c r="J146" t="str">
        <f t="shared" si="9"/>
        <v>![Monitoring the queued synthetic data job](figures/ft/ss_syntheticdata_003a_clean.png){#fig-2555}</v>
      </c>
    </row>
    <row r="147" spans="2:10" x14ac:dyDescent="0.25">
      <c r="B147" t="s">
        <v>101</v>
      </c>
      <c r="C147" t="s">
        <v>4</v>
      </c>
      <c r="D147" t="b">
        <v>1</v>
      </c>
      <c r="E147" t="b">
        <v>1</v>
      </c>
      <c r="F147" t="s">
        <v>263</v>
      </c>
      <c r="G147" t="s">
        <v>264</v>
      </c>
      <c r="H147" s="1" t="str" cm="1">
        <f t="array" ref="H147">CRC16HASH(F147)</f>
        <v>4C1D</v>
      </c>
      <c r="I147" t="str">
        <f t="shared" si="10"/>
        <v>{#fig-4C1D}</v>
      </c>
      <c r="J147" t="str">
        <f t="shared" si="9"/>
        <v>![Viewing the synthetic data job results](figures/ft/ss_syntheticdata_003_ann.png){#fig-4C1D}</v>
      </c>
    </row>
    <row r="148" spans="2:10" x14ac:dyDescent="0.25">
      <c r="B148" t="s">
        <v>101</v>
      </c>
      <c r="C148" t="s">
        <v>4</v>
      </c>
      <c r="D148" t="b">
        <v>0</v>
      </c>
      <c r="E148" t="b">
        <v>0</v>
      </c>
      <c r="F148" t="s">
        <v>265</v>
      </c>
      <c r="H148" s="1" t="str" cm="1">
        <f t="array" ref="H148">CRC16HASH(F148)</f>
        <v>DB5E</v>
      </c>
      <c r="I148" t="str">
        <f t="shared" ref="I148:I149" si="13">_xlfn.CONCAT("{#fig-",H148,"}")</f>
        <v>{#fig-DB5E}</v>
      </c>
      <c r="J148" t="str">
        <f t="shared" ref="J148:J149" si="14">IF(E148,_xlfn.CONCAT("![",G148,"](figures/",B148,"/",F148,")",I148),"")</f>
        <v/>
      </c>
    </row>
    <row r="149" spans="2:10" x14ac:dyDescent="0.25">
      <c r="B149" t="s">
        <v>101</v>
      </c>
      <c r="C149" t="s">
        <v>4</v>
      </c>
      <c r="D149" t="b">
        <v>1</v>
      </c>
      <c r="E149" t="b">
        <v>1</v>
      </c>
      <c r="F149" t="s">
        <v>266</v>
      </c>
      <c r="G149" t="s">
        <v>267</v>
      </c>
      <c r="H149" s="1" t="str" cm="1">
        <f t="array" ref="H149">CRC16HASH(F149)</f>
        <v>7C3B</v>
      </c>
      <c r="I149" t="str">
        <f t="shared" si="13"/>
        <v>{#fig-7C3B}</v>
      </c>
      <c r="J149" t="str">
        <f t="shared" si="14"/>
        <v>![Continuing to fine-tune with the new cardiology synthetic data](figures/ft/ss_syntheticdata_004_ann.png){#fig-7C3B}</v>
      </c>
    </row>
    <row r="150" spans="2:10" x14ac:dyDescent="0.25">
      <c r="B150" t="s">
        <v>101</v>
      </c>
      <c r="C150" t="s">
        <v>4</v>
      </c>
      <c r="D150" t="b">
        <v>0</v>
      </c>
      <c r="E150" t="b">
        <v>1</v>
      </c>
      <c r="F150" t="s">
        <v>269</v>
      </c>
      <c r="G150" t="s">
        <v>270</v>
      </c>
      <c r="H150" s="1" t="str" cm="1">
        <f t="array" ref="H150">CRC16HASH(F150)</f>
        <v>5DD6</v>
      </c>
      <c r="I150" t="str">
        <f t="shared" ref="I150" si="15">_xlfn.CONCAT("{#fig-",H150,"}")</f>
        <v>{#fig-5DD6}</v>
      </c>
      <c r="J150" t="str">
        <f t="shared" ref="J150" si="16">IF(E150,_xlfn.CONCAT("![",G150,"](figures/",B150,"/",F150,")",I150),"")</f>
        <v>![Initializing a fine-tuning job from the CLI](figures/ft/ss_cli_001_clean.png){#fig-5DD6}</v>
      </c>
    </row>
    <row r="151" spans="2:10" x14ac:dyDescent="0.25">
      <c r="B151" t="s">
        <v>101</v>
      </c>
      <c r="C151" t="s">
        <v>4</v>
      </c>
      <c r="D151" t="b">
        <v>0</v>
      </c>
      <c r="E151" t="b">
        <v>1</v>
      </c>
      <c r="F151" t="s">
        <v>271</v>
      </c>
      <c r="G151" t="s">
        <v>273</v>
      </c>
      <c r="H151" s="1" t="str" cm="1">
        <f t="array" ref="H151">CRC16HASH(F151)</f>
        <v>19D9</v>
      </c>
      <c r="I151" t="str">
        <f t="shared" ref="I151:I152" si="17">_xlfn.CONCAT("{#fig-",H151,"}")</f>
        <v>{#fig-19D9}</v>
      </c>
      <c r="J151" t="str">
        <f t="shared" ref="J151:J152" si="18">IF(E151,_xlfn.CONCAT("![",G151,"](figures/",B151,"/",F151,")",I151),"")</f>
        <v>![Uploading training data and starting the fine-tuning job](figures/ft/ss_cli_002_clean.png){#fig-19D9}</v>
      </c>
    </row>
    <row r="152" spans="2:10" x14ac:dyDescent="0.25">
      <c r="B152" t="s">
        <v>101</v>
      </c>
      <c r="C152" t="s">
        <v>4</v>
      </c>
      <c r="D152" t="b">
        <v>0</v>
      </c>
      <c r="E152" t="b">
        <v>1</v>
      </c>
      <c r="F152" t="s">
        <v>272</v>
      </c>
      <c r="G152" t="s">
        <v>274</v>
      </c>
      <c r="H152" s="1" t="str" cm="1">
        <f t="array" ref="H152">CRC16HASH(F152)</f>
        <v>E5DD</v>
      </c>
      <c r="I152" t="str">
        <f t="shared" si="17"/>
        <v>{#fig-E5DD}</v>
      </c>
      <c r="J152" t="str">
        <f t="shared" si="18"/>
        <v>![Listing fine-tuning jobs and showing job details](figures/ft/ss_cli_003_clean.png){#fig-E5DD}</v>
      </c>
    </row>
  </sheetData>
  <autoFilter ref="A1:J119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workbookViewId="0">
      <selection activeCell="N13" sqref="N13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2026-02-23T21:26:42Z</dcterms:modified>
</cp:coreProperties>
</file>