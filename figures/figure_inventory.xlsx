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BD5B54FA-B290-440D-8371-6EA3463D7538}" xr6:coauthVersionLast="47" xr6:coauthVersionMax="47" xr10:uidLastSave="{00000000-0000-0000-0000-000000000000}"/>
  <bookViews>
    <workbookView xWindow="49155" yWindow="2550" windowWidth="24405" windowHeight="14265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1" l="1"/>
  <c r="H45" i="1"/>
  <c r="H44" i="1"/>
  <c r="H41" i="1"/>
  <c r="H42" i="1"/>
  <c r="H43" i="1"/>
  <c r="H39" i="1"/>
  <c r="H40" i="1"/>
  <c r="H37" i="1"/>
  <c r="H38" i="1"/>
  <c r="H36" i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<sst xmlns="http://schemas.openxmlformats.org/spreadsheetml/2006/main" count="172" uniqueCount="86">
  <si>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</si>
  <si>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</si>
  <si>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</si>
  <si>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</si>
  <si>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</si>
  <si>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</si>
  <si>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</si>
  <si>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</si>
  <si>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</si>
  <si>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ch01_il_001.png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</si>
  <si>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</si>
  <si>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</si>
  <si>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</si>
  <si>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</si>
  <si>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</si>
  <si>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</si>
  <si>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</si>
  <si>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</si>
  <si>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</si>
  <si>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</si>
  <si>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</si>
  <si>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</si>
  <si>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</si>
  <si>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</si>
  <si>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</si>
  <si>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</si>
  <si>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</si>
  <si>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</si>
  <si>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</si>
  <si>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</si>
  <si>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</si>
  <si>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</si>
  <si>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</si>
  <si>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</si>
  <si>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</si>
  <si>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</si>
  <si>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</si>
  <si>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</si>
  <si>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</si>
  <si>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</si>
  <si>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</si>
  <si>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</si>
  <si>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</si>
  <si>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</si>
  <si>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</si>
  <si>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</si>
  <si>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</si>
  <si>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</si>
  <si>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</si>
  <si>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</si>
  <si>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ch02_ss_portal_001_clean.png</t>
  </si>
  <si>
    <t>ch02_ss_portal_001_ann.png</t>
  </si>
  <si>
    <t>ch02_ss_discover_001_clean.png</t>
  </si>
  <si>
    <t>ch02_ss_discover_001_ann.png</t>
  </si>
  <si>
    <t>ch02_ss_discover_002_clean.png</t>
  </si>
  <si>
    <t>Exploring featured models on the Discover page</t>
  </si>
  <si>
    <t>Listing all available models in Foundry</t>
  </si>
  <si>
    <t>ch02_ss_compare_002_clean.png</t>
  </si>
  <si>
    <t>ch02_ss_compare_001_ann.png</t>
  </si>
  <si>
    <t>Locating the Compare models button</t>
  </si>
  <si>
    <t>Comparing models across benchmarks and capabilities</t>
  </si>
  <si>
    <t>Locating the View leaderboard button</t>
  </si>
  <si>
    <t>ch02_ss_leaderboard_001_ann.png</t>
  </si>
  <si>
    <t>ID</t>
  </si>
  <si>
    <t>Exploring the model leaderboard</t>
  </si>
  <si>
    <t>ch02_ss_leaderboard_002_clean.png</t>
  </si>
  <si>
    <t>ch02_ss_leaderboard_003_ann.png</t>
  </si>
  <si>
    <t>More details about a model's benchmark performance</t>
  </si>
  <si>
    <t>ch02_ss_leaderboard_004_clean.png</t>
  </si>
  <si>
    <t>Metric details across various model benchmarks</t>
  </si>
  <si>
    <t>ch02_ss_deploy_001_ann.png</t>
  </si>
  <si>
    <t>Searching for the Phi-4 model</t>
  </si>
  <si>
    <t>ch02_ss_deploy_001_clean.png</t>
  </si>
  <si>
    <t>Deploying Phi-4 with Default settings</t>
  </si>
  <si>
    <t>ch02_ss_deploy_002_clean.png</t>
  </si>
  <si>
    <t>ch02_ss_deploy_002_ann.png</t>
  </si>
  <si>
    <t>ch02_ss_deploy_003_clean.png</t>
  </si>
  <si>
    <t>ch02_ss_deploy_003_ann.png</t>
  </si>
  <si>
    <t>Agreeing to the terms for deploying Phi-4</t>
  </si>
  <si>
    <t>Playground UI for experimenting with a Phi-4 deployment</t>
  </si>
  <si>
    <t>ch02_ss_deploy_004_clean.png</t>
  </si>
  <si>
    <t>Learning to make intergalactic pizza</t>
  </si>
  <si>
    <t>ch02_ss_deploy_005_clean.png</t>
  </si>
  <si>
    <t>Deployment endpoint and key on the Details tab</t>
  </si>
  <si>
    <t>ch02_ss_deploy_006_ann.png</t>
  </si>
  <si>
    <t>ch02_ss_deploy_006_clean.png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</si>
</sst>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46"/>
  <sheetViews>
    <sheetView tabSelected="1" workbookViewId="0">
      <pane ySplit="1" topLeftCell="A23" activePane="bottomLeft" state="frozen"/>
      <selection pane="bottomLeft" activeCell="G49" sqref="G49"/>
    </sheetView>
  </sheetViews>
  <sheetFormatPr defaultRowHeight="15" x14ac:dyDescent="0.25"/>
  <cols>
    <col min="1" max="1" width="3" bestFit="1" customWidth="1"/>
    <col min="3" max="3" width="10.7109375" bestFit="1" customWidth="1"/>
    <col min="4" max="4" width="11.28515625" bestFit="1" customWidth="1"/>
    <col min="5" max="5" width="11" customWidth="1"/>
    <col min="6" max="6" width="34.5703125" bestFit="1" customWidth="1"/>
    <col min="7" max="7" width="43.7109375" bestFit="1" customWidth="1"/>
    <col min="8" max="8" width="97.28515625" bestFit="1" customWidth="1"/>
  </cols>
  <sheetData>
    <row r="1" spans="1:8" s="1" customFormat="1" x14ac:dyDescent="0.25">
      <c r="A1" s="1" t="s">
        <v>63</v>
      </c>
      <c r="B1" s="1" t="s">
        <v>0</v>
      </c>
      <c r="C1" s="1" t="s">
        <v>1</v>
      </c>
      <c r="D1" s="1" t="s">
        <v>7</v>
      </c>
      <c r="E1" s="1" t="s">
        <v>10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9</v>
      </c>
      <c r="G2" t="s">
        <v>32</v>
      </c>
      <c r="H2" t="str">
        <f>IF(E2,_xlfn.CONCAT("![",G2,"](figures/",B2,"/",F2,")"),"")</f>
        <v>![Foundry Resource and Project Organization](figures/ch01/ch01_il_001.png)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11</v>
      </c>
      <c r="G3" t="s">
        <v>31</v>
      </c>
      <c r="H3" t="str">
        <f t="shared" ref="H3:H25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12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13</v>
      </c>
      <c r="G5" t="s">
        <v>30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14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15</v>
      </c>
      <c r="G7" t="s">
        <v>29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16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17</v>
      </c>
      <c r="G9" t="s">
        <v>33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18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19</v>
      </c>
      <c r="G11" t="s">
        <v>35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20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21</v>
      </c>
      <c r="G13" t="s">
        <v>34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22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23</v>
      </c>
      <c r="G15" t="s">
        <v>36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24</v>
      </c>
      <c r="G16" t="s">
        <v>37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25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26</v>
      </c>
      <c r="G18" t="s">
        <v>38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27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28</v>
      </c>
      <c r="G20" t="s">
        <v>39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40</v>
      </c>
      <c r="D21" t="b">
        <v>0</v>
      </c>
      <c r="E21" t="b">
        <v>1</v>
      </c>
      <c r="F21" t="s">
        <v>42</v>
      </c>
      <c r="G21" t="s">
        <v>41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44</v>
      </c>
      <c r="G22" t="s">
        <v>43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45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46</v>
      </c>
      <c r="G24" t="s">
        <v>47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48</v>
      </c>
      <c r="C25" t="s">
        <v>6</v>
      </c>
      <c r="D25" t="b">
        <v>0</v>
      </c>
      <c r="E25" t="b">
        <v>0</v>
      </c>
      <c r="F25" t="s">
        <v>50</v>
      </c>
      <c r="H25" t="str">
        <f t="shared" si="0"/>
        <v/>
      </c>
    </row>
    <row r="26" spans="1:8" x14ac:dyDescent="0.25">
      <c r="A26">
        <v>25</v>
      </c>
      <c r="B26" t="s">
        <v>48</v>
      </c>
      <c r="C26" t="s">
        <v>6</v>
      </c>
      <c r="D26" t="b">
        <v>1</v>
      </c>
      <c r="E26" t="b">
        <v>1</v>
      </c>
      <c r="F26" t="s">
        <v>51</v>
      </c>
      <c r="G26" t="s">
        <v>49</v>
      </c>
      <c r="H26" t="str">
        <f>IF(E26,_xlfn.CONCAT("![",G26,"](figures/",B26,"/",F26,")"),"")</f>
        <v>![Locating the Discover tab](figures/ch02/ch02_ss_portal_001_ann.png)</v>
      </c>
    </row>
    <row r="27" spans="1:8" x14ac:dyDescent="0.25">
      <c r="A27">
        <v>26</v>
      </c>
      <c r="B27" t="s">
        <v>48</v>
      </c>
      <c r="C27" t="s">
        <v>6</v>
      </c>
      <c r="D27" t="b">
        <v>0</v>
      </c>
      <c r="E27" t="b">
        <v>0</v>
      </c>
      <c r="F27" t="s">
        <v>52</v>
      </c>
      <c r="H27" t="str">
        <f t="shared" ref="H27:H46" si="1">IF(E27,_xlfn.CONCAT("![",G27,"](figures/",B27,"/",F27,")"),"")</f>
        <v/>
      </c>
    </row>
    <row r="28" spans="1:8" x14ac:dyDescent="0.25">
      <c r="A28">
        <v>27</v>
      </c>
      <c r="B28" t="s">
        <v>48</v>
      </c>
      <c r="C28" t="s">
        <v>6</v>
      </c>
      <c r="D28" t="b">
        <v>1</v>
      </c>
      <c r="E28" t="b">
        <v>1</v>
      </c>
      <c r="F28" t="s">
        <v>53</v>
      </c>
      <c r="G28" t="s">
        <v>55</v>
      </c>
      <c r="H28" t="str">
        <f t="shared" si="1"/>
        <v>![Exploring featured models on the Discover page](figures/ch02/ch02_ss_discover_001_ann.png)</v>
      </c>
    </row>
    <row r="29" spans="1:8" x14ac:dyDescent="0.25">
      <c r="A29">
        <v>28</v>
      </c>
      <c r="B29" t="s">
        <v>48</v>
      </c>
      <c r="C29" t="s">
        <v>6</v>
      </c>
      <c r="D29" t="b">
        <v>0</v>
      </c>
      <c r="E29" t="b">
        <v>1</v>
      </c>
      <c r="F29" t="s">
        <v>54</v>
      </c>
      <c r="G29" t="s">
        <v>56</v>
      </c>
      <c r="H29" t="str">
        <f t="shared" si="1"/>
        <v>![Listing all available models in Foundry](figures/ch02/ch02_ss_discover_002_clean.png)</v>
      </c>
    </row>
    <row r="30" spans="1:8" x14ac:dyDescent="0.25">
      <c r="A30">
        <v>29</v>
      </c>
      <c r="B30" t="s">
        <v>48</v>
      </c>
      <c r="C30" t="s">
        <v>6</v>
      </c>
      <c r="D30" t="b">
        <v>1</v>
      </c>
      <c r="E30" t="b">
        <v>1</v>
      </c>
      <c r="F30" t="s">
        <v>58</v>
      </c>
      <c r="G30" t="s">
        <v>59</v>
      </c>
      <c r="H30" t="str">
        <f t="shared" si="1"/>
        <v>![Locating the Compare models button](figures/ch02/ch02_ss_compare_001_ann.png)</v>
      </c>
    </row>
    <row r="31" spans="1:8" x14ac:dyDescent="0.25">
      <c r="A31">
        <v>30</v>
      </c>
      <c r="B31" t="s">
        <v>48</v>
      </c>
      <c r="C31" t="s">
        <v>6</v>
      </c>
      <c r="D31" t="b">
        <v>0</v>
      </c>
      <c r="E31" t="b">
        <v>1</v>
      </c>
      <c r="F31" t="s">
        <v>57</v>
      </c>
      <c r="G31" t="s">
        <v>60</v>
      </c>
      <c r="H31" t="str">
        <f t="shared" si="1"/>
        <v>![Comparing models across benchmarks and capabilities](figures/ch02/ch02_ss_compare_002_clean.png)</v>
      </c>
    </row>
    <row r="32" spans="1:8" x14ac:dyDescent="0.25">
      <c r="A32">
        <v>31</v>
      </c>
      <c r="B32" t="s">
        <v>48</v>
      </c>
      <c r="C32" t="s">
        <v>6</v>
      </c>
      <c r="D32" t="b">
        <v>1</v>
      </c>
      <c r="E32" t="b">
        <v>1</v>
      </c>
      <c r="F32" t="s">
        <v>62</v>
      </c>
      <c r="G32" t="s">
        <v>61</v>
      </c>
      <c r="H32" t="str">
        <f t="shared" si="1"/>
        <v>![Locating the View leaderboard button](figures/ch02/ch02_ss_leaderboard_001_ann.png)</v>
      </c>
    </row>
    <row r="33" spans="1:8" x14ac:dyDescent="0.25">
      <c r="A33">
        <v>32</v>
      </c>
      <c r="B33" t="s">
        <v>48</v>
      </c>
      <c r="C33" t="s">
        <v>6</v>
      </c>
      <c r="D33" t="b">
        <v>0</v>
      </c>
      <c r="E33" t="b">
        <v>1</v>
      </c>
      <c r="F33" t="s">
        <v>65</v>
      </c>
      <c r="G33" t="s">
        <v>64</v>
      </c>
      <c r="H33" t="str">
        <f t="shared" si="1"/>
        <v>![Exploring the model leaderboard](figures/ch02/ch02_ss_leaderboard_002_clean.png)</v>
      </c>
    </row>
    <row r="34" spans="1:8" x14ac:dyDescent="0.25">
      <c r="A34">
        <v>33</v>
      </c>
      <c r="B34" t="s">
        <v>48</v>
      </c>
      <c r="C34" t="s">
        <v>6</v>
      </c>
      <c r="D34" t="b">
        <v>0</v>
      </c>
      <c r="E34" t="b">
        <v>0</v>
      </c>
      <c r="F34" t="s">
        <v>65</v>
      </c>
      <c r="H34" t="str">
        <f t="shared" si="1"/>
        <v/>
      </c>
    </row>
    <row r="35" spans="1:8" x14ac:dyDescent="0.25">
      <c r="A35">
        <v>34</v>
      </c>
      <c r="B35" t="s">
        <v>48</v>
      </c>
      <c r="C35" t="s">
        <v>6</v>
      </c>
      <c r="D35" t="b">
        <v>1</v>
      </c>
      <c r="E35" t="b">
        <v>1</v>
      </c>
      <c r="F35" t="s">
        <v>66</v>
      </c>
      <c r="G35" t="s">
        <v>67</v>
      </c>
      <c r="H35" t="str">
        <f t="shared" si="1"/>
        <v>![More details about a model's benchmark performance](figures/ch02/ch02_ss_leaderboard_003_ann.png)</v>
      </c>
    </row>
    <row r="36" spans="1:8" x14ac:dyDescent="0.25">
      <c r="A36">
        <v>35</v>
      </c>
      <c r="B36" t="s">
        <v>48</v>
      </c>
      <c r="C36" t="s">
        <v>6</v>
      </c>
      <c r="D36" t="b">
        <v>0</v>
      </c>
      <c r="E36" t="b">
        <v>1</v>
      </c>
      <c r="F36" t="s">
        <v>68</v>
      </c>
      <c r="G36" t="s">
        <v>69</v>
      </c>
      <c r="H36" t="str">
        <f t="shared" si="1"/>
        <v>![Metric details across various model benchmarks](figures/ch02/ch02_ss_leaderboard_004_clean.png)</v>
      </c>
    </row>
    <row r="37" spans="1:8" x14ac:dyDescent="0.25">
      <c r="A37">
        <v>36</v>
      </c>
      <c r="B37" t="s">
        <v>48</v>
      </c>
      <c r="C37" t="s">
        <v>6</v>
      </c>
      <c r="D37" t="b">
        <v>0</v>
      </c>
      <c r="E37" t="b">
        <v>0</v>
      </c>
      <c r="F37" t="s">
        <v>72</v>
      </c>
      <c r="H37" t="str">
        <f t="shared" si="1"/>
        <v/>
      </c>
    </row>
    <row r="38" spans="1:8" x14ac:dyDescent="0.25">
      <c r="A38">
        <v>37</v>
      </c>
      <c r="B38" t="s">
        <v>48</v>
      </c>
      <c r="C38" t="s">
        <v>6</v>
      </c>
      <c r="D38" t="b">
        <v>1</v>
      </c>
      <c r="E38" t="b">
        <v>1</v>
      </c>
      <c r="F38" t="s">
        <v>70</v>
      </c>
      <c r="G38" t="s">
        <v>71</v>
      </c>
      <c r="H38" t="str">
        <f t="shared" si="1"/>
        <v>![Searching for the Phi-4 model](figures/ch02/ch02_ss_deploy_001_ann.png)</v>
      </c>
    </row>
    <row r="39" spans="1:8" x14ac:dyDescent="0.25">
      <c r="A39">
        <v>38</v>
      </c>
      <c r="B39" t="s">
        <v>48</v>
      </c>
      <c r="C39" t="s">
        <v>6</v>
      </c>
      <c r="D39" t="b">
        <v>0</v>
      </c>
      <c r="E39" t="b">
        <v>0</v>
      </c>
      <c r="F39" t="s">
        <v>74</v>
      </c>
      <c r="H39" t="str">
        <f t="shared" si="1"/>
        <v/>
      </c>
    </row>
    <row r="40" spans="1:8" x14ac:dyDescent="0.25">
      <c r="A40">
        <v>39</v>
      </c>
      <c r="B40" t="s">
        <v>48</v>
      </c>
      <c r="C40" t="s">
        <v>6</v>
      </c>
      <c r="D40" t="b">
        <v>1</v>
      </c>
      <c r="E40" t="b">
        <v>1</v>
      </c>
      <c r="F40" t="s">
        <v>75</v>
      </c>
      <c r="G40" t="s">
        <v>73</v>
      </c>
      <c r="H40" t="str">
        <f t="shared" si="1"/>
        <v>![Deploying Phi-4 with Default settings](figures/ch02/ch02_ss_deploy_002_ann.png)</v>
      </c>
    </row>
    <row r="41" spans="1:8" x14ac:dyDescent="0.25">
      <c r="A41">
        <v>40</v>
      </c>
      <c r="B41" t="s">
        <v>48</v>
      </c>
      <c r="C41" t="s">
        <v>6</v>
      </c>
      <c r="D41" t="b">
        <v>0</v>
      </c>
      <c r="E41" t="b">
        <v>0</v>
      </c>
      <c r="F41" t="s">
        <v>76</v>
      </c>
      <c r="H41" t="str">
        <f t="shared" si="1"/>
        <v/>
      </c>
    </row>
    <row r="42" spans="1:8" x14ac:dyDescent="0.25">
      <c r="A42">
        <v>41</v>
      </c>
      <c r="B42" t="s">
        <v>48</v>
      </c>
      <c r="C42" t="s">
        <v>6</v>
      </c>
      <c r="D42" t="b">
        <v>1</v>
      </c>
      <c r="E42" t="b">
        <v>1</v>
      </c>
      <c r="F42" t="s">
        <v>77</v>
      </c>
      <c r="G42" t="s">
        <v>78</v>
      </c>
      <c r="H42" t="str">
        <f t="shared" si="1"/>
        <v>![Agreeing to the terms for deploying Phi-4](figures/ch02/ch02_ss_deploy_003_ann.png)</v>
      </c>
    </row>
    <row r="43" spans="1:8" x14ac:dyDescent="0.25">
      <c r="A43">
        <v>42</v>
      </c>
      <c r="B43" t="s">
        <v>48</v>
      </c>
      <c r="C43" t="s">
        <v>6</v>
      </c>
      <c r="D43" t="b">
        <v>0</v>
      </c>
      <c r="E43" t="b">
        <v>1</v>
      </c>
      <c r="F43" t="s">
        <v>80</v>
      </c>
      <c r="G43" t="s">
        <v>79</v>
      </c>
      <c r="H43" t="str">
        <f t="shared" si="1"/>
        <v>![Playground UI for experimenting with a Phi-4 deployment](figures/ch02/ch02_ss_deploy_004_clean.png)</v>
      </c>
    </row>
    <row r="44" spans="1:8" x14ac:dyDescent="0.25">
      <c r="A44">
        <v>43</v>
      </c>
      <c r="B44" t="s">
        <v>48</v>
      </c>
      <c r="C44" t="s">
        <v>6</v>
      </c>
      <c r="D44" t="b">
        <v>0</v>
      </c>
      <c r="E44" t="b">
        <v>1</v>
      </c>
      <c r="F44" t="s">
        <v>82</v>
      </c>
      <c r="G44" t="s">
        <v>81</v>
      </c>
      <c r="H44" t="str">
        <f t="shared" si="1"/>
        <v>![Learning to make intergalactic pizza](figures/ch02/ch02_ss_deploy_005_clean.png)</v>
      </c>
    </row>
    <row r="45" spans="1:8" x14ac:dyDescent="0.25">
      <c r="A45">
        <v>44</v>
      </c>
      <c r="B45" t="s">
        <v>48</v>
      </c>
      <c r="C45" t="s">
        <v>6</v>
      </c>
      <c r="D45" t="b">
        <v>0</v>
      </c>
      <c r="E45" t="b">
        <v>0</v>
      </c>
      <c r="F45" t="s">
        <v>84</v>
      </c>
      <c r="H45" t="str">
        <f t="shared" si="1"/>
        <v/>
      </c>
    </row>
    <row r="46" spans="1:8" x14ac:dyDescent="0.25">
      <c r="A46">
        <v>45</v>
      </c>
      <c r="B46" t="s">
        <v>48</v>
      </c>
      <c r="C46" t="s">
        <v>6</v>
      </c>
      <c r="D46" t="b">
        <v>1</v>
      </c>
      <c r="E46" t="b">
        <v>1</v>
      </c>
      <c r="F46" t="s">
        <v>85</v>
      </c>
      <c r="G46" t="s">
        <v>83</v>
      </c>
      <c r="H46" t="str">
        <f t="shared" si="1"/>
        <v>![Deployment endpoint and key on the Details tab](figures/ch02/ch02_ss_deploy_006_clean.png)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2026-02-01T03:11:22Z</dcterms:modified>
</cp:coreProperties>
</file>