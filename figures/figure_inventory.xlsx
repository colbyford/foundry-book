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AD19EDAF-EF00-4754-A4E2-5F4F0F315775}" xr6:coauthVersionLast="47" xr6:coauthVersionMax="47" xr10:uidLastSave="{00000000-0000-0000-0000-000000000000}"/>
  <bookViews>
    <workbookView xWindow="-12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96" i="1" l="1"/>
  <c r="J291" i="1"/>
  <c r="J293" i="1"/>
  <c r="J288" i="1"/>
  <c r="J285" i="1"/>
  <c r="H301" i="1" a="1"/>
  <c r="H296" i="1" a="1"/>
  <c r="H297" i="1" a="1"/>
  <c r="H298" i="1" a="1"/>
  <c r="H299" i="1" a="1"/>
  <c r="H300" i="1" a="1"/>
  <c r="H295" i="1" a="1"/>
  <c r="H291" i="1" a="1"/>
  <c r="H294" i="1" a="1"/>
  <c r="H293" i="1" a="1"/>
  <c r="H292" i="1" a="1"/>
  <c r="H288" i="1" a="1"/>
  <c r="H289" i="1" a="1"/>
  <c r="H284" i="1" a="1"/>
  <c r="H285" i="1" a="1"/>
  <c r="H286" i="1" a="1"/>
  <c r="H290" i="1" a="1"/>
  <c r="H287" i="1" a="1"/>
  <c r="H301" i="1" l="1"/>
  <c r="I301" i="1" s="1"/>
  <c r="J301" i="1" s="1"/>
  <c r="H300" i="1"/>
  <c r="I300" i="1" s="1"/>
  <c r="J300" i="1" s="1"/>
  <c r="H299" i="1"/>
  <c r="I299" i="1" s="1"/>
  <c r="J299" i="1" s="1"/>
  <c r="H298" i="1"/>
  <c r="I298" i="1" s="1"/>
  <c r="J298" i="1" s="1"/>
  <c r="H297" i="1"/>
  <c r="I297" i="1" s="1"/>
  <c r="J297" i="1" s="1"/>
  <c r="H296" i="1"/>
  <c r="I296" i="1" s="1"/>
  <c r="H295" i="1"/>
  <c r="I295" i="1" s="1"/>
  <c r="J295" i="1" s="1"/>
  <c r="H292" i="1"/>
  <c r="I292" i="1" s="1"/>
  <c r="J292" i="1" s="1"/>
  <c r="H293" i="1"/>
  <c r="I293" i="1" s="1"/>
  <c r="H294" i="1"/>
  <c r="I294" i="1" s="1"/>
  <c r="J294" i="1" s="1"/>
  <c r="H291" i="1"/>
  <c r="I291" i="1" s="1"/>
  <c r="H289" i="1"/>
  <c r="I289" i="1" s="1"/>
  <c r="J289" i="1" s="1"/>
  <c r="H288" i="1"/>
  <c r="I288" i="1" s="1"/>
  <c r="H287" i="1"/>
  <c r="I287" i="1" s="1"/>
  <c r="J287" i="1" s="1"/>
  <c r="H290" i="1"/>
  <c r="I290" i="1" s="1"/>
  <c r="J290" i="1" s="1"/>
  <c r="H286" i="1"/>
  <c r="I286" i="1" s="1"/>
  <c r="J286" i="1" s="1"/>
  <c r="H285" i="1"/>
  <c r="I285" i="1" s="1"/>
  <c r="H284" i="1"/>
  <c r="I284" i="1" s="1"/>
  <c r="J284" i="1" s="1"/>
  <c r="J272" i="1"/>
  <c r="J262" i="1"/>
  <c r="J267" i="1"/>
  <c r="J269" i="1"/>
  <c r="J254" i="1"/>
  <c r="J256" i="1"/>
  <c r="J260" i="1"/>
  <c r="J249" i="1"/>
  <c r="J251" i="1"/>
  <c r="J246" i="1"/>
  <c r="J244" i="1"/>
  <c r="J242" i="1"/>
  <c r="H248" i="1" a="1"/>
  <c r="H247" i="1" a="1"/>
  <c r="H258" i="1" a="1"/>
  <c r="H246" i="1" a="1"/>
  <c r="H274" i="1" a="1"/>
  <c r="H250" i="1" a="1"/>
  <c r="H271" i="1" a="1"/>
  <c r="H272" i="1" a="1"/>
  <c r="H273" i="1" a="1"/>
  <c r="H260" i="1" a="1"/>
  <c r="H275" i="1" a="1"/>
  <c r="H266" i="1" a="1"/>
  <c r="H254" i="1" a="1"/>
  <c r="H255" i="1" a="1"/>
  <c r="H251" i="1" a="1"/>
  <c r="H242" i="1" a="1"/>
  <c r="H262" i="1" a="1"/>
  <c r="H253" i="1" a="1"/>
  <c r="H257" i="1" a="1"/>
  <c r="H245" i="1" a="1"/>
  <c r="H269" i="1" a="1"/>
  <c r="H261" i="1" a="1"/>
  <c r="H243" i="1" a="1"/>
  <c r="H263" i="1" a="1"/>
  <c r="H259" i="1" a="1"/>
  <c r="H252" i="1" a="1"/>
  <c r="H264" i="1" a="1"/>
  <c r="H267" i="1" a="1"/>
  <c r="H256" i="1" a="1"/>
  <c r="H244" i="1" a="1"/>
  <c r="H268" i="1" a="1"/>
  <c r="H270" i="1" a="1"/>
  <c r="H265" i="1" a="1"/>
  <c r="H249" i="1" a="1"/>
  <c r="H248" i="1" l="1"/>
  <c r="I248" i="1" s="1"/>
  <c r="J248" i="1" s="1"/>
  <c r="H247" i="1"/>
  <c r="H271" i="1"/>
  <c r="I271" i="1" s="1"/>
  <c r="J271" i="1" s="1"/>
  <c r="H275" i="1"/>
  <c r="I275" i="1" s="1"/>
  <c r="J275" i="1" s="1"/>
  <c r="H273" i="1"/>
  <c r="I273" i="1" s="1"/>
  <c r="J273" i="1" s="1"/>
  <c r="H274" i="1"/>
  <c r="I274" i="1" s="1"/>
  <c r="J274" i="1" s="1"/>
  <c r="H272" i="1"/>
  <c r="I272" i="1" s="1"/>
  <c r="H267" i="1"/>
  <c r="I267" i="1" s="1"/>
  <c r="H266" i="1"/>
  <c r="I266" i="1" s="1"/>
  <c r="J266" i="1" s="1"/>
  <c r="H265" i="1"/>
  <c r="I265" i="1" s="1"/>
  <c r="J265" i="1" s="1"/>
  <c r="H268" i="1"/>
  <c r="I268" i="1" s="1"/>
  <c r="J268" i="1" s="1"/>
  <c r="H270" i="1"/>
  <c r="I270" i="1" s="1"/>
  <c r="J270" i="1" s="1"/>
  <c r="H264" i="1"/>
  <c r="I264" i="1" s="1"/>
  <c r="J264" i="1" s="1"/>
  <c r="H263" i="1"/>
  <c r="I263" i="1" s="1"/>
  <c r="J263" i="1" s="1"/>
  <c r="H269" i="1"/>
  <c r="I269" i="1" s="1"/>
  <c r="H262" i="1"/>
  <c r="I262" i="1" s="1"/>
  <c r="H260" i="1"/>
  <c r="I260" i="1" s="1"/>
  <c r="H261" i="1"/>
  <c r="I261" i="1" s="1"/>
  <c r="J261" i="1" s="1"/>
  <c r="H259" i="1"/>
  <c r="I259" i="1" s="1"/>
  <c r="J259" i="1" s="1"/>
  <c r="H257" i="1"/>
  <c r="I257" i="1" s="1"/>
  <c r="J257" i="1" s="1"/>
  <c r="H256" i="1"/>
  <c r="I256" i="1" s="1"/>
  <c r="H255" i="1"/>
  <c r="I255" i="1" s="1"/>
  <c r="J255" i="1" s="1"/>
  <c r="H258" i="1"/>
  <c r="I258" i="1" s="1"/>
  <c r="J258" i="1" s="1"/>
  <c r="H254" i="1"/>
  <c r="I254" i="1" s="1"/>
  <c r="H253" i="1"/>
  <c r="I253" i="1" s="1"/>
  <c r="J253" i="1" s="1"/>
  <c r="H250" i="1"/>
  <c r="I250" i="1" s="1"/>
  <c r="J250" i="1" s="1"/>
  <c r="H251" i="1"/>
  <c r="I251" i="1" s="1"/>
  <c r="H249" i="1"/>
  <c r="I249" i="1" s="1"/>
  <c r="I247" i="1"/>
  <c r="J247" i="1" s="1"/>
  <c r="H252" i="1"/>
  <c r="I252" i="1" s="1"/>
  <c r="J252" i="1" s="1"/>
  <c r="H245" i="1"/>
  <c r="I245" i="1" s="1"/>
  <c r="J245" i="1" s="1"/>
  <c r="H246" i="1"/>
  <c r="I246" i="1" s="1"/>
  <c r="H244" i="1"/>
  <c r="I244" i="1" s="1"/>
  <c r="H243" i="1"/>
  <c r="I243" i="1" s="1"/>
  <c r="J243" i="1" s="1"/>
  <c r="H242" i="1"/>
  <c r="I242" i="1" s="1"/>
  <c r="J233" i="1" l="1"/>
  <c r="J235" i="1"/>
  <c r="J225" i="1"/>
  <c r="J227" i="1"/>
  <c r="J231" i="1"/>
  <c r="J215" i="1"/>
  <c r="J217" i="1"/>
  <c r="J219" i="1"/>
  <c r="J221" i="1"/>
  <c r="J223" i="1"/>
  <c r="J206" i="1"/>
  <c r="J207" i="1"/>
  <c r="J209" i="1"/>
  <c r="J213" i="1"/>
  <c r="J203" i="1"/>
  <c r="J201" i="1"/>
  <c r="H210" i="1" a="1"/>
  <c r="H212" i="1" a="1"/>
  <c r="H203" i="1" a="1"/>
  <c r="H202" i="1" a="1"/>
  <c r="H241" i="1" a="1"/>
  <c r="H237" i="1" a="1"/>
  <c r="H239" i="1" a="1"/>
  <c r="H231" i="1" a="1"/>
  <c r="H228" i="1" a="1"/>
  <c r="H220" i="1" a="1"/>
  <c r="H208" i="1" a="1"/>
  <c r="H207" i="1" a="1"/>
  <c r="H204" i="1" a="1"/>
  <c r="H201" i="1" a="1"/>
  <c r="H200" i="1" a="1"/>
  <c r="H238" i="1" a="1"/>
  <c r="H236" i="1" a="1"/>
  <c r="H232" i="1" a="1"/>
  <c r="H230" i="1" a="1"/>
  <c r="H222" i="1" a="1"/>
  <c r="H219" i="1" a="1"/>
  <c r="H213" i="1" a="1"/>
  <c r="H214" i="1" a="1"/>
  <c r="H234" i="1" a="1"/>
  <c r="H240" i="1" a="1"/>
  <c r="H225" i="1" a="1"/>
  <c r="H227" i="1" a="1"/>
  <c r="H217" i="1" a="1"/>
  <c r="H218" i="1" a="1"/>
  <c r="H216" i="1" a="1"/>
  <c r="H211" i="1" a="1"/>
  <c r="H226" i="1" a="1"/>
  <c r="H224" i="1" a="1"/>
  <c r="H221" i="1" a="1"/>
  <c r="H206" i="1" a="1"/>
  <c r="H233" i="1" a="1"/>
  <c r="H223" i="1" a="1"/>
  <c r="H209" i="1" a="1"/>
  <c r="H235" i="1" a="1"/>
  <c r="H215" i="1" a="1"/>
  <c r="H229" i="1" a="1"/>
  <c r="H205" i="1" a="1"/>
  <c r="H241" i="1" l="1"/>
  <c r="I241" i="1" s="1"/>
  <c r="J241" i="1" s="1"/>
  <c r="H239" i="1"/>
  <c r="I239" i="1" s="1"/>
  <c r="J239" i="1" s="1"/>
  <c r="H236" i="1"/>
  <c r="I236" i="1" s="1"/>
  <c r="J236" i="1" s="1"/>
  <c r="H240" i="1"/>
  <c r="I240" i="1" s="1"/>
  <c r="J240" i="1" s="1"/>
  <c r="H235" i="1"/>
  <c r="I235" i="1" s="1"/>
  <c r="H237" i="1"/>
  <c r="I237" i="1" s="1"/>
  <c r="J237" i="1" s="1"/>
  <c r="H234" i="1"/>
  <c r="I234" i="1" s="1"/>
  <c r="J234" i="1" s="1"/>
  <c r="H238" i="1"/>
  <c r="I238" i="1" s="1"/>
  <c r="J238" i="1" s="1"/>
  <c r="H233" i="1"/>
  <c r="I233" i="1" s="1"/>
  <c r="H229" i="1"/>
  <c r="I229" i="1" s="1"/>
  <c r="J229" i="1" s="1"/>
  <c r="H228" i="1"/>
  <c r="I228" i="1" s="1"/>
  <c r="J228" i="1" s="1"/>
  <c r="H230" i="1"/>
  <c r="I230" i="1" s="1"/>
  <c r="J230" i="1" s="1"/>
  <c r="H227" i="1"/>
  <c r="I227" i="1" s="1"/>
  <c r="H226" i="1"/>
  <c r="I226" i="1" s="1"/>
  <c r="J226" i="1" s="1"/>
  <c r="H231" i="1"/>
  <c r="I231" i="1" s="1"/>
  <c r="H232" i="1"/>
  <c r="I232" i="1" s="1"/>
  <c r="J232" i="1" s="1"/>
  <c r="H225" i="1"/>
  <c r="I225" i="1" s="1"/>
  <c r="H221" i="1"/>
  <c r="I221" i="1" s="1"/>
  <c r="H220" i="1"/>
  <c r="I220" i="1" s="1"/>
  <c r="J220" i="1" s="1"/>
  <c r="H223" i="1"/>
  <c r="I223" i="1" s="1"/>
  <c r="H219" i="1"/>
  <c r="I219" i="1" s="1"/>
  <c r="H218" i="1"/>
  <c r="I218" i="1" s="1"/>
  <c r="J218" i="1" s="1"/>
  <c r="H224" i="1"/>
  <c r="I224" i="1" s="1"/>
  <c r="J224" i="1" s="1"/>
  <c r="H222" i="1"/>
  <c r="I222" i="1" s="1"/>
  <c r="J222" i="1" s="1"/>
  <c r="H217" i="1"/>
  <c r="I217" i="1" s="1"/>
  <c r="H216" i="1"/>
  <c r="I216" i="1" s="1"/>
  <c r="J216" i="1" s="1"/>
  <c r="H212" i="1"/>
  <c r="I212" i="1" s="1"/>
  <c r="J212" i="1" s="1"/>
  <c r="H211" i="1"/>
  <c r="I211" i="1" s="1"/>
  <c r="J211" i="1" s="1"/>
  <c r="H214" i="1"/>
  <c r="I214" i="1" s="1"/>
  <c r="J214" i="1" s="1"/>
  <c r="H207" i="1"/>
  <c r="I207" i="1" s="1"/>
  <c r="H210" i="1"/>
  <c r="I210" i="1" s="1"/>
  <c r="J210" i="1" s="1"/>
  <c r="H208" i="1"/>
  <c r="I208" i="1" s="1"/>
  <c r="J208" i="1" s="1"/>
  <c r="H206" i="1"/>
  <c r="I206" i="1" s="1"/>
  <c r="H213" i="1"/>
  <c r="I213" i="1" s="1"/>
  <c r="H209" i="1"/>
  <c r="I209" i="1" s="1"/>
  <c r="H215" i="1"/>
  <c r="I215" i="1" s="1"/>
  <c r="H205" i="1"/>
  <c r="I205" i="1" s="1"/>
  <c r="J205" i="1" s="1"/>
  <c r="H203" i="1"/>
  <c r="I203" i="1" s="1"/>
  <c r="H204" i="1"/>
  <c r="I204" i="1" s="1"/>
  <c r="J204" i="1" s="1"/>
  <c r="H202" i="1"/>
  <c r="I202" i="1" s="1"/>
  <c r="J202" i="1" s="1"/>
  <c r="H201" i="1"/>
  <c r="H200" i="1"/>
  <c r="I200" i="1" s="1"/>
  <c r="J200" i="1" s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78" i="1" a="1"/>
  <c r="H144" i="1" a="1"/>
  <c r="H196" i="1" a="1"/>
  <c r="H166" i="1" a="1"/>
  <c r="H147" i="1" a="1"/>
  <c r="H67" i="1" a="1"/>
  <c r="H53" i="1" a="1"/>
  <c r="H103" i="1" a="1"/>
  <c r="H79" i="1" a="1"/>
  <c r="H50" i="1" a="1"/>
  <c r="H87" i="1" a="1"/>
  <c r="H75" i="1" a="1"/>
  <c r="H55" i="1" a="1"/>
  <c r="H279" i="1" a="1"/>
  <c r="H123" i="1" a="1"/>
  <c r="H174" i="1" a="1"/>
  <c r="H180" i="1" a="1"/>
  <c r="H62" i="1" a="1"/>
  <c r="H159" i="1" a="1"/>
  <c r="H102" i="1" a="1"/>
  <c r="H282" i="1" a="1"/>
  <c r="H83" i="1" a="1"/>
  <c r="H138" i="1" a="1"/>
  <c r="H108" i="1" a="1"/>
  <c r="H120" i="1" a="1"/>
  <c r="H149" i="1" a="1"/>
  <c r="H167" i="1" a="1"/>
  <c r="H161" i="1" a="1"/>
  <c r="H181" i="1" a="1"/>
  <c r="H177" i="1" a="1"/>
  <c r="H80" i="1" a="1"/>
  <c r="H61" i="1" a="1"/>
  <c r="H162" i="1" a="1"/>
  <c r="H114" i="1" a="1"/>
  <c r="H109" i="1" a="1"/>
  <c r="H93" i="1" a="1"/>
  <c r="H73" i="1" a="1"/>
  <c r="H106" i="1" a="1"/>
  <c r="H140" i="1" a="1"/>
  <c r="H133" i="1" a="1"/>
  <c r="H148" i="1" a="1"/>
  <c r="H101" i="1" a="1"/>
  <c r="H155" i="1" a="1"/>
  <c r="H137" i="1" a="1"/>
  <c r="H117" i="1" a="1"/>
  <c r="H170" i="1" a="1"/>
  <c r="H127" i="1" a="1"/>
  <c r="H157" i="1" a="1"/>
  <c r="H151" i="1" a="1"/>
  <c r="H56" i="1" a="1"/>
  <c r="H179" i="1" a="1"/>
  <c r="H185" i="1" a="1"/>
  <c r="H197" i="1" a="1"/>
  <c r="H189" i="1" a="1"/>
  <c r="H156" i="1" a="1"/>
  <c r="H129" i="1" a="1"/>
  <c r="H125" i="1" a="1"/>
  <c r="H54" i="1" a="1"/>
  <c r="H130" i="1" a="1"/>
  <c r="H91" i="1" a="1"/>
  <c r="H112" i="1" a="1"/>
  <c r="H150" i="1" a="1"/>
  <c r="H63" i="1" a="1"/>
  <c r="H58" i="1" a="1"/>
  <c r="H111" i="1" a="1"/>
  <c r="H113" i="1" a="1"/>
  <c r="H66" i="1" a="1"/>
  <c r="H64" i="1" a="1"/>
  <c r="H283" i="1" a="1"/>
  <c r="H141" i="1" a="1"/>
  <c r="H164" i="1" a="1"/>
  <c r="H142" i="1" a="1"/>
  <c r="H107" i="1" a="1"/>
  <c r="H119" i="1" a="1"/>
  <c r="H104" i="1" a="1"/>
  <c r="H110" i="1" a="1"/>
  <c r="H136" i="1" a="1"/>
  <c r="H71" i="1" a="1"/>
  <c r="H278" i="1" a="1"/>
  <c r="H84" i="1" a="1"/>
  <c r="H198" i="1" a="1"/>
  <c r="H88" i="1" a="1"/>
  <c r="H82" i="1" a="1"/>
  <c r="H188" i="1" a="1"/>
  <c r="H172" i="1" a="1"/>
  <c r="H85" i="1" a="1"/>
  <c r="H68" i="1" a="1"/>
  <c r="H145" i="1" a="1"/>
  <c r="H65" i="1" a="1"/>
  <c r="H158" i="1" a="1"/>
  <c r="H77" i="1" a="1"/>
  <c r="H160" i="1" a="1"/>
  <c r="H190" i="1" a="1"/>
  <c r="H277" i="1" a="1"/>
  <c r="H281" i="1" a="1"/>
  <c r="H121" i="1" a="1"/>
  <c r="H118" i="1" a="1"/>
  <c r="H171" i="1" a="1"/>
  <c r="H169" i="1" a="1"/>
  <c r="H168" i="1" a="1"/>
  <c r="H89" i="1" a="1"/>
  <c r="H175" i="1" a="1"/>
  <c r="H92" i="1" a="1"/>
  <c r="H69" i="1" a="1"/>
  <c r="H72" i="1" a="1"/>
  <c r="H182" i="1" a="1"/>
  <c r="H143" i="1" a="1"/>
  <c r="H74" i="1" a="1"/>
  <c r="H60" i="1" a="1"/>
  <c r="H100" i="1" a="1"/>
  <c r="H122" i="1" a="1"/>
  <c r="H128" i="1" a="1"/>
  <c r="H191" i="1" a="1"/>
  <c r="H193" i="1" a="1"/>
  <c r="H276" i="1" a="1"/>
  <c r="H165" i="1" a="1"/>
  <c r="H280" i="1" a="1"/>
  <c r="H186" i="1" a="1"/>
  <c r="H99" i="1" a="1"/>
  <c r="H126" i="1" a="1"/>
  <c r="H192" i="1" a="1"/>
  <c r="H146" i="1" a="1"/>
  <c r="H95" i="1" a="1"/>
  <c r="H78" i="1" a="1"/>
  <c r="H57" i="1" a="1"/>
  <c r="H90" i="1" a="1"/>
  <c r="H70" i="1" a="1"/>
  <c r="H176" i="1" a="1"/>
  <c r="H26" i="1" a="1"/>
  <c r="H98" i="1" a="1"/>
  <c r="H199" i="1" a="1"/>
  <c r="H183" i="1" a="1"/>
  <c r="H76" i="1" a="1"/>
  <c r="H131" i="1" a="1"/>
  <c r="H96" i="1" a="1"/>
  <c r="H86" i="1" a="1"/>
  <c r="H132" i="1" a="1"/>
  <c r="H51" i="1" a="1"/>
  <c r="H52" i="1" a="1"/>
  <c r="H115" i="1" a="1"/>
  <c r="H139" i="1" a="1"/>
  <c r="H94" i="1" a="1"/>
  <c r="H195" i="1" a="1"/>
  <c r="H152" i="1" a="1"/>
  <c r="H187" i="1" a="1"/>
  <c r="H163" i="1" a="1"/>
  <c r="H59" i="1" a="1"/>
  <c r="H81" i="1" a="1"/>
  <c r="H105" i="1" a="1"/>
  <c r="H135" i="1" a="1"/>
  <c r="H173" i="1" a="1"/>
  <c r="H124" i="1" a="1"/>
  <c r="H154" i="1" a="1"/>
  <c r="H97" i="1" a="1"/>
  <c r="H134" i="1" a="1"/>
  <c r="H116" i="1" a="1"/>
  <c r="H153" i="1" a="1"/>
  <c r="H184" i="1" a="1"/>
  <c r="H194" i="1" a="1"/>
  <c r="I201" i="1" l="1"/>
  <c r="H280" i="1"/>
  <c r="I280" i="1" s="1"/>
  <c r="J280" i="1" s="1"/>
  <c r="H278" i="1"/>
  <c r="I278" i="1" s="1"/>
  <c r="J278" i="1" s="1"/>
  <c r="H281" i="1"/>
  <c r="I281" i="1" s="1"/>
  <c r="J281" i="1" s="1"/>
  <c r="H282" i="1"/>
  <c r="I282" i="1" s="1"/>
  <c r="J282" i="1" s="1"/>
  <c r="H283" i="1"/>
  <c r="I283" i="1" s="1"/>
  <c r="J283" i="1" s="1"/>
  <c r="H279" i="1"/>
  <c r="I279" i="1" s="1"/>
  <c r="J279" i="1" s="1"/>
  <c r="H276" i="1"/>
  <c r="I276" i="1" s="1"/>
  <c r="J276" i="1" s="1"/>
  <c r="H277" i="1"/>
  <c r="I277" i="1" s="1"/>
  <c r="J277" i="1" s="1"/>
  <c r="H199" i="1"/>
  <c r="I199" i="1" s="1"/>
  <c r="J199" i="1" s="1"/>
  <c r="H128" i="1"/>
  <c r="I128" i="1" s="1"/>
  <c r="J128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I126" i="1" s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15" i="1" a="1"/>
  <c r="H20" i="1" a="1"/>
  <c r="H36" i="1" a="1"/>
  <c r="H21" i="1" a="1"/>
  <c r="H29" i="1" a="1"/>
  <c r="H8" i="1" a="1"/>
  <c r="H22" i="1" a="1"/>
  <c r="H45" i="1" a="1"/>
  <c r="H40" i="1" a="1"/>
  <c r="H23" i="1" a="1"/>
  <c r="H14" i="1" a="1"/>
  <c r="H31" i="1" a="1"/>
  <c r="H41" i="1" a="1"/>
  <c r="H28" i="1" a="1"/>
  <c r="H7" i="1" a="1"/>
  <c r="H19" i="1" a="1"/>
  <c r="H42" i="1" a="1"/>
  <c r="H18" i="1" a="1"/>
  <c r="H49" i="1" a="1"/>
  <c r="H37" i="1" a="1"/>
  <c r="H13" i="1" a="1"/>
  <c r="H39" i="1" a="1"/>
  <c r="H17" i="1" a="1"/>
  <c r="H25" i="1" a="1"/>
  <c r="H46" i="1" a="1"/>
  <c r="H35" i="1" a="1"/>
  <c r="H47" i="1" a="1"/>
  <c r="H9" i="1" a="1"/>
  <c r="H32" i="1" a="1"/>
  <c r="H11" i="1" a="1"/>
  <c r="H24" i="1" a="1"/>
  <c r="H30" i="1" a="1"/>
  <c r="H4" i="1" a="1"/>
  <c r="H2" i="1" a="1"/>
  <c r="H10" i="1" a="1"/>
  <c r="H27" i="1" a="1"/>
  <c r="H5" i="1" a="1"/>
  <c r="H33" i="1" a="1"/>
  <c r="H43" i="1" a="1"/>
  <c r="H34" i="1" a="1"/>
  <c r="H38" i="1" a="1"/>
  <c r="H16" i="1" a="1"/>
  <c r="H6" i="1" a="1"/>
  <c r="H3" i="1" a="1"/>
  <c r="H12" i="1" a="1"/>
  <c r="H44" i="1" a="1"/>
  <c r="H48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<sst xmlns="http://schemas.openxmlformats.org/spreadsheetml/2006/main" count="1115" uniqueCount="505">
  <si>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</si>
  <si>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</si>
  <si>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</si>
  <si>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</si>
  <si>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</si>
  <si>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</si>
  <si>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</si>
  <si>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</si>
  <si>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</si>
  <si>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</si>
  <si>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</si>
  <si>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</si>
  <si>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</si>
  <si>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</si>
  <si>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</si>
  <si>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</si>
  <si>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</si>
  <si>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</si>
  <si>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</si>
  <si>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</si>
  <si>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</si>
  <si>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</si>
  <si>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</si>
  <si>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</si>
  <si>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</si>
  <si>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</si>
  <si>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</si>
  <si>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</si>
  <si>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</si>
  <si>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</si>
  <si>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</si>
  <si>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</si>
  <si>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</si>
  <si>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</si>
  <si>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</si>
  <si>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</si>
  <si>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</si>
  <si>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</si>
  <si>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</si>
  <si>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</si>
  <si>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</si>
  <si>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</si>
  <si>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</si>
  <si>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</si>
  <si>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</si>
  <si>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</si>
  <si>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</si>
  <si>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</si>
  <si>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</si>
  <si>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</si>
  <si>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</si>
  <si>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</si>
  <si>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</si>
  <si>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</si>
  <si>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</si>
  <si>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</si>
  <si>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</si>
  <si>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</si>
  <si>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</si>
  <si>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</si>
  <si>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</si>
  <si>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</si>
  <si>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</si>
  <si>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</si>
  <si>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</si>
  <si>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</si>
  <si>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</si>
  <si>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</si>
  <si>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</si>
  <si>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</si>
  <si>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</si>
  <si>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</si>
  <si>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</si>
  <si>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</si>
  <si>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</si>
  <si>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</si>
  <si>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</si>
  <si>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</si>
  <si>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</si>
  <si>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</si>
  <si>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</si>
  <si>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</si>
  <si>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</si>
  <si>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</si>
  <si>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</si>
  <si>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</si>
  <si>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</si>
  <si>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</si>
  <si>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</si>
  <si>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</si>
  <si>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Local Inferencing and Edge-Deployed AI</t>
  </si>
  <si>
    <t>in</t>
  </si>
  <si>
    <t>co</t>
  </si>
  <si>
    <t>md</t>
  </si>
  <si>
    <t>ad</t>
  </si>
  <si>
    <t>kb</t>
  </si>
  <si>
    <t>ft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</si>
  <si>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</si>
  <si>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</si>
  <si>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</si>
  <si>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</si>
  <si>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</si>
  <si>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</si>
  <si>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</si>
  <si>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</si>
  <si>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</si>
  <si>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</si>
  <si>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</si>
  <si>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</si>
  <si>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</si>
  <si>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</si>
  <si>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</si>
  <si>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</si>
  <si>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</si>
  <si>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</si>
  <si>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</si>
  <si>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</si>
  <si>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</si>
  <si>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</si>
  <si>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</si>
  <si>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</si>
  <si>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</si>
  <si>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</si>
  <si>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</si>
  <si>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</si>
  <si>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</si>
  <si>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</si>
  <si>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</si>
  <si>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</si>
  <si>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</si>
  <si>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</si>
  <si>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</si>
  <si>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</si>
  <si>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</si>
  <si>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</si>
  <si>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</si>
  <si>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</si>
  <si>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</si>
  <si>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</si>
  <si>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</si>
  <si>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</si>
  <si>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</si>
  <si>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</si>
  <si>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</si>
  <si>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</si>
  <si>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</si>
  <si>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</si>
  <si>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</si>
  <si>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</si>
  <si>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</si>
  <si>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</si>
  <si>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</si>
  <si>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</si>
  <si>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</si>
  <si>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</si>
  <si>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</si>
  <si>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</si>
  <si>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</si>
  <si>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</si>
  <si>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</si>
  <si>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</si>
  <si>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</si>
  <si>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</si>
  <si>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</si>
  <si>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</si>
  <si>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</si>
  <si>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</si>
  <si>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</si>
  <si>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</si>
  <si>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</si>
  <si>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</si>
  <si>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</si>
  <si>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</si>
  <si>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</si>
  <si>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</si>
  <si>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</si>
  <si>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</si>
  <si>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</si>
  <si>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</si>
  <si>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</si>
  <si>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</si>
  <si>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</si>
  <si>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</si>
  <si>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</si>
  <si>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</si>
  <si>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</si>
  <si>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</si>
  <si>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</si>
  <si>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</si>
  <si>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</si>
  <si>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</si>
  <si>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</si>
  <si>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</si>
  <si>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</si>
  <si>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</si>
  <si>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</si>
  <si>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</si>
  <si>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</si>
  <si>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</si>
  <si>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</si>
  <si>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</si>
  <si>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</si>
  <si>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</si>
  <si>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</si>
  <si>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</si>
  <si>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</si>
  <si>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</si>
  <si>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</si>
  <si>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</si>
  <si>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</si>
  <si>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</si>
  <si>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</si>
  <si>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</si>
  <si>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</si>
  <si>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</si>
  <si>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</si>
  <si>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</si>
  <si>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</si>
  <si>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</si>
  <si>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</si>
  <si>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</si>
  <si>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</si>
  <si>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</si>
  <si>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</si>
  <si>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</si>
  <si>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</si>
  <si>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</si>
  <si>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</si>
  <si>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</si>
  <si>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</si>
  <si>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</si>
  <si>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</si>
  <si>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</si>
  <si>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</si>
  <si>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</si>
  <si>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</si>
  <si>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</si>
  <si>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</si>
  <si>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</si>
  <si>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</si>
  <si>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</si>
  <si>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</si>
  <si>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</si>
  <si>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</si>
  <si>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</si>
  <si>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</si>
  <si>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</si>
  <si>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</si>
  <si>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</si>
  <si>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</si>
  <si>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</si>
  <si>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</si>
  <si>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</si>
  <si>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</si>
  <si>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</si>
  <si>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</si>
  <si>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</si>
  <si>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</si>
  <si>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</si>
  <si>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</si>
  <si>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</si>
  <si>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</si>
  <si>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</si>
  <si>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</si>
  <si>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</si>
  <si>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</si>
  <si>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</si>
  <si>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</si>
  <si>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</si>
  <si>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</si>
  <si>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</si>
  <si>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</si>
  <si>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</si>
  <si>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</si>
  <si>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</si>
  <si>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</si>
  <si>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</si>
  <si>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</si>
  <si>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</si>
  <si>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</si>
  <si>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</si>
  <si>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</si>
  <si>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</si>
  <si>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</si>
  <si>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</si>
  <si>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</si>
  <si>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</si>
  <si>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</si>
  <si>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</si>
  <si>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</si>
  <si>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</si>
  <si>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</si>
  <si>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</si>
  <si>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</si>
  <si>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</si>
  <si>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</si>
  <si>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</si>
  <si>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</si>
  <si>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</si>
  <si>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</si>
  <si>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</si>
  <si>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</si>
  <si>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</si>
  <si>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</si>
  <si>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</si>
  <si>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</si>
  <si>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</si>
  <si>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</si>
  <si>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</si>
  <si>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</si>
  <si>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</si>
  <si>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</si>
  <si>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</si>
  <si>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</si>
  <si>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</si>
  <si>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</si>
  <si>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</si>
  <si>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</si>
  <si>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</si>
  <si>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</si>
  <si>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</si>
  <si>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</si>
  <si>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</si>
  <si>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</si>
  <si>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</si>
  <si>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</si>
  <si>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</si>
  <si>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</si>
  <si>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</si>
  <si>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</si>
  <si>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</si>
  <si>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</si>
  <si>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</si>
  <si>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</si>
  <si>
    <t>ed</t>
  </si>
  <si>
    <t>ss_local_001_clean.png</t>
  </si>
  <si>
    <t>ss_local_002_clean.png</t>
  </si>
  <si>
    <t>ss_local_003_clean.png</t>
  </si>
  <si>
    <t>ss_local_004_clean.png</t>
  </si>
  <si>
    <t>Chatting with an LLM using the Foundry Local Python SDK</t>
  </si>
  <si>
    <t>Audio transcription with a Whisper model using the Foundry Local Javascript app</t>
  </si>
  <si>
    <t>Chatting with a Phi-4 model with reasoning using the Foundry Local CLI</t>
  </si>
  <si>
    <t>Chatting with a small Qwen 2.5 model using the Foundry Local CLI</t>
  </si>
  <si>
    <t>il_local_001_clean.png</t>
  </si>
  <si>
    <t>il_local_002_clean.png</t>
  </si>
  <si>
    <t>Key features of Foundry Local</t>
  </si>
  <si>
    <t>Architecture components of Foundry Local</t>
  </si>
  <si>
    <t>ss_localsite_001_clean.png</t>
  </si>
  <si>
    <t>The Foundry Local website homepage</t>
  </si>
  <si>
    <t>Quantization example walkthrough from FP32 to INT4</t>
  </si>
  <si>
    <t>il_quant_001_clean.png</t>
  </si>
  <si>
    <t>ss_olive_001_clean.png</t>
  </si>
  <si>
    <t>Quantization of Qwen 2.5 0.5B for CPU inference using Olive</t>
  </si>
  <si>
    <t>wf</t>
  </si>
  <si>
    <t>il_types_001_clean.png</t>
  </si>
  <si>
    <t>Locating Workflows from the Foundry UI</t>
  </si>
  <si>
    <t>Workflow template patterns</t>
  </si>
  <si>
    <t>Selecting the Human in Loop workflow template</t>
  </si>
  <si>
    <t>ss_save_001_clean.png</t>
  </si>
  <si>
    <t>ss_save_001_ann.png</t>
  </si>
  <si>
    <t>ss_nodes_001_ann.png</t>
  </si>
  <si>
    <t>ss_nodes_001_clean.png</t>
  </si>
  <si>
    <t>The + New node panel</t>
  </si>
  <si>
    <t>Saving the Math Coder Workflow</t>
  </si>
  <si>
    <t>ss_canvas_001_clean.png</t>
  </si>
  <si>
    <t>A blank Workflow canvas with only a start node</t>
  </si>
  <si>
    <t>ss_canvas_001_ann.png</t>
  </si>
  <si>
    <t>Adding an Ask a question node</t>
  </si>
  <si>
    <t>ss_canvas_002_clean.png</t>
  </si>
  <si>
    <t>ss_canvas_002_ann.png</t>
  </si>
  <si>
    <t>ss_canvas_003_clean.png</t>
  </si>
  <si>
    <t>ss_canvas_003_ann.png</t>
  </si>
  <si>
    <t>Configuring the Ask a question node to ask for a math problem</t>
  </si>
  <si>
    <t>ss_canvas_004_clean.png</t>
  </si>
  <si>
    <t>ss_canvas_004_ann.png</t>
  </si>
  <si>
    <t>Configuring the Latest Message variable</t>
  </si>
  <si>
    <t>ss_canvas_005_clean.png</t>
  </si>
  <si>
    <t>ss_canvas_005_ann.png</t>
  </si>
  <si>
    <t>Configuring the Turn Count variable</t>
  </si>
  <si>
    <t>Configuring the Math Evaluator Agent node</t>
  </si>
  <si>
    <t>ss_canvas_006_clean.png</t>
  </si>
  <si>
    <t>ss_canvas_006_ann.png</t>
  </si>
  <si>
    <t>ss_canvas_007_clean.png</t>
  </si>
  <si>
    <t>ss_canvas_007_ann.png</t>
  </si>
  <si>
    <t>Configuring the Math Evaluator Agent's behavior</t>
  </si>
  <si>
    <t>Configuring the If/else logic to handle evaluation failures</t>
  </si>
  <si>
    <t>ss_canvas_008_clean.png</t>
  </si>
  <si>
    <t>ss_canvas_008_ann.png</t>
  </si>
  <si>
    <t>Configuring the message to the user if evaluation failed</t>
  </si>
  <si>
    <t>ss_canvas_009_clean.png</t>
  </si>
  <si>
    <t>ss_canvas_009_ann.png</t>
  </si>
  <si>
    <t>Configuring the message to the user if evaluation succeeded</t>
  </si>
  <si>
    <t>ss_canvas_010_clean.png</t>
  </si>
  <si>
    <t>ss_canvas_010_ann.png</t>
  </si>
  <si>
    <t>ss_canvas_011_ann.png</t>
  </si>
  <si>
    <t>ss_canvas_011_clean.png</t>
  </si>
  <si>
    <t>The first half of the Math Coder Workflow</t>
  </si>
  <si>
    <t>ss_canvas_012_clean.png</t>
  </si>
  <si>
    <t>ss_canvas_012_ann.png</t>
  </si>
  <si>
    <t>Seeing the YAML version of what you've built</t>
  </si>
  <si>
    <t>ss_canvas_013_ann.png</t>
  </si>
  <si>
    <t>ss_canvas_013_clean.png</t>
  </si>
  <si>
    <t>Seeing the visual version of the full YAML pipeline</t>
  </si>
  <si>
    <t>Configuring the Python Coder Agent's behavior</t>
  </si>
  <si>
    <t>ss_canvas_014_clean.png</t>
  </si>
  <si>
    <t>ss_canvas_014_ann.png</t>
  </si>
  <si>
    <t>ss_canvas_015_clean.png</t>
  </si>
  <si>
    <t>The response node contained the problem's solution</t>
  </si>
  <si>
    <t>ss_mathproblem_001_clean.png</t>
  </si>
  <si>
    <t>An example math problem input</t>
  </si>
  <si>
    <t>ss_mathproblem_002_clean.png</t>
  </si>
  <si>
    <t>ss_mathproblem_003_clean.png</t>
  </si>
  <si>
    <t>The evaluation of the math problem</t>
  </si>
  <si>
    <t>The results and outputs of the math workflow</t>
  </si>
  <si>
    <t>ss_logs_001_clean.png</t>
  </si>
  <si>
    <t>Viewing the invocation logs for your chat session</t>
  </si>
  <si>
    <t>am</t>
  </si>
  <si>
    <t>ss_guardrails_001_clean.png</t>
  </si>
  <si>
    <t>Locating Guardrails from the Foundry UI</t>
  </si>
  <si>
    <t>ss_guardrails_001_ann.png</t>
  </si>
  <si>
    <t>Selecting Risks in a new Guardrail</t>
  </si>
  <si>
    <t>ss_guardrails_002_clean.png</t>
  </si>
  <si>
    <t>ss_guardrails_002_ann.png</t>
  </si>
  <si>
    <t>Selecting the intervention points and actions for the Risk</t>
  </si>
  <si>
    <t>ss_guardrails_003_clean.png</t>
  </si>
  <si>
    <t>ss_guardrails_003_ann.png</t>
  </si>
  <si>
    <t>ss_guardrails_004_clean.png</t>
  </si>
  <si>
    <t>ss_guardrails_004_ann.png</t>
  </si>
  <si>
    <t>ss_guardrails_005_clean.png</t>
  </si>
  <si>
    <t>ss_guardrails_005_ann.png</t>
  </si>
  <si>
    <t>Reviewing the Controls added to the Guardrail</t>
  </si>
  <si>
    <t>Applying the Guardrail to Models and Agents</t>
  </si>
  <si>
    <t>ss_guardrails_006_clean.png</t>
  </si>
  <si>
    <t>Reviewing the Guardrail selections before saving</t>
  </si>
  <si>
    <t>Locating Blocklists from the Foundry UI</t>
  </si>
  <si>
    <t>ss_blocklists_001_clean.png</t>
  </si>
  <si>
    <t>ss_blocklists_001_ann.png</t>
  </si>
  <si>
    <t>Making a new Blocklist of competitor AI products</t>
  </si>
  <si>
    <t>ss_blocklists_002_ann.png</t>
  </si>
  <si>
    <t>ss_blocklists_002_clean.png</t>
  </si>
  <si>
    <t>Adding the Blocklist in a Guardrail</t>
  </si>
  <si>
    <t>ss_blocklists_003_clean.png</t>
  </si>
  <si>
    <t>ss_integrations_001_clean.png</t>
  </si>
  <si>
    <t>Exploring the available third-party integrations</t>
  </si>
  <si>
    <t>ss_controlplane_001_clean.png</t>
  </si>
  <si>
    <t>ss_controlplane_001_ann.png</t>
  </si>
  <si>
    <t>ss_controlplane_002_clean.png</t>
  </si>
  <si>
    <t>ss_controlplane_002_ann.png</t>
  </si>
  <si>
    <t>Viewing all your assets in the Control Plane</t>
  </si>
  <si>
    <t>The Conrol Plane's Operate page of the Foundry UI</t>
  </si>
  <si>
    <t>Viewing the Monitor tab of an Agent</t>
  </si>
  <si>
    <t>Viewing the Quotas table in the Control Plane</t>
  </si>
  <si>
    <t>ss_quotas_001_clean.png</t>
  </si>
  <si>
    <t>ss_quotas_001_ann.png</t>
  </si>
  <si>
    <t>Agent Management and Governance</t>
  </si>
  <si>
    <t>Building Knowledge Bases</t>
  </si>
  <si>
    <t>ss_quotas_002_clean.png</t>
  </si>
  <si>
    <t>ss_quotas_002_ann.png</t>
  </si>
  <si>
    <t>Editing the quota for a model</t>
  </si>
  <si>
    <t>ss_compliance_001_clean.png</t>
  </si>
  <si>
    <t>ss_compliance_001_ann.png</t>
  </si>
  <si>
    <t>Enabling Microsoft Purview monitoring of your Foundry Project</t>
  </si>
  <si>
    <t>ss_entra_001_ann.png</t>
  </si>
  <si>
    <t>ss_entra_002_clean.png</t>
  </si>
  <si>
    <t>ss_entra_001_clean.png</t>
  </si>
  <si>
    <t>The general Application ID for the Foundry Project in Entra ID</t>
  </si>
  <si>
    <t>Publishing an Agent to retrieve its Principal ID</t>
  </si>
  <si>
    <t>ss_agentid_001_clean.png</t>
  </si>
  <si>
    <t>The Agent ID dashboard from the Azure Portal</t>
  </si>
  <si>
    <t>Model Customization through Fine-Tuning</t>
  </si>
  <si>
    <t>Orchestrating Agents with Workflows</t>
  </si>
  <si>
    <t>il_controls_001_clean.png</t>
  </si>
  <si>
    <t>Control intervention points in an Agent response flow</t>
  </si>
  <si>
    <t>il_govframework_001_clean.png</t>
  </si>
  <si>
    <t>Governance workflow of the Microsoft Agent Governance Toolkit</t>
  </si>
  <si>
    <t>il_govframework_002_clean.png</t>
  </si>
  <si>
    <t>The 4 privilege rings of zero-trust Agent identity</t>
  </si>
  <si>
    <t>Locating the memory capability on an Agent</t>
  </si>
  <si>
    <t>ss_memory_001_clean.png</t>
  </si>
  <si>
    <t>ss_memory_002_clean.png</t>
  </si>
  <si>
    <t>ss_memory_001_ann.png</t>
  </si>
  <si>
    <t>Editing the memory store</t>
  </si>
  <si>
    <t>il_memory_001_clean.png</t>
  </si>
  <si>
    <t>How a memory store recalls previous context</t>
  </si>
  <si>
    <t>ss_evaluations_001_clean.png</t>
  </si>
  <si>
    <t>ss_evaluations_001_ann.png</t>
  </si>
  <si>
    <t>Locating the Evaluations screen</t>
  </si>
  <si>
    <t>ss_evaluations_002_clean.png</t>
  </si>
  <si>
    <t>Configuring the evaluation process for an agent using synthetic data</t>
  </si>
  <si>
    <t>ss_evaluations_003_clean.png</t>
  </si>
  <si>
    <t>ss_evaluations_003_ann.png</t>
  </si>
  <si>
    <t>The Evaluator catalog show the details of a built-in evaluator</t>
  </si>
  <si>
    <t>ss_batchjobs_001_clean.png</t>
  </si>
  <si>
    <t>ss_batchjobs_001_ann.png</t>
  </si>
  <si>
    <t>Locating the Batch jobs feature under Models</t>
  </si>
  <si>
    <t>ss_batchjobs_002_clean.png</t>
  </si>
  <si>
    <t>Uploading .jsonl data to create a batch job</t>
  </si>
  <si>
    <t>Locating the AI Services options under Models</t>
  </si>
  <si>
    <t>ss_aiservices_001_clean.png</t>
  </si>
  <si>
    <t>ss_aiservices_001_ann.png</t>
  </si>
  <si>
    <t>Testing out the Voice Live AI service in a Playground</t>
  </si>
  <si>
    <t>ss_aiservices_002_clean.png</t>
  </si>
  <si>
    <t>il_architecture_001_clean.png</t>
  </si>
  <si>
    <t>A basic, mostly serverless architecture for AI</t>
  </si>
  <si>
    <t>Potpourri and Conclusion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</si>
</sst>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3" fillId="10" borderId="0" xfId="0" applyFont="1" applyFill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  <color rgb="FF66CCFF"/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11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301"/>
  <sheetViews>
    <sheetView tabSelected="1" zoomScale="115" zoomScaleNormal="115" workbookViewId="0">
      <pane ySplit="1" topLeftCell="A281" activePane="bottomLeft" state="frozen"/>
      <selection pane="bottomLeft" activeCell="B302" sqref="B302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73.85546875" bestFit="1" customWidth="1"/>
    <col min="8" max="8" width="8.28515625" bestFit="1" customWidth="1"/>
    <col min="9" max="9" width="13.140625" bestFit="1" customWidth="1"/>
    <col min="10" max="10" width="118" bestFit="1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91</v>
      </c>
      <c r="C2" t="s">
        <v>6</v>
      </c>
      <c r="D2" t="b">
        <v>0</v>
      </c>
      <c r="E2" t="b">
        <v>1</v>
      </c>
      <c r="F2" t="s">
        <v>97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91</v>
      </c>
      <c r="C3" t="s">
        <v>6</v>
      </c>
      <c r="D3" t="b">
        <v>0</v>
      </c>
      <c r="E3" t="b">
        <v>1</v>
      </c>
      <c r="F3" t="s">
        <v>98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91</v>
      </c>
      <c r="C4" t="s">
        <v>4</v>
      </c>
      <c r="D4" t="b">
        <v>1</v>
      </c>
      <c r="E4" t="b">
        <v>1</v>
      </c>
      <c r="F4" t="s">
        <v>99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91</v>
      </c>
      <c r="C5" t="s">
        <v>4</v>
      </c>
      <c r="D5" t="b">
        <v>0</v>
      </c>
      <c r="E5" t="b">
        <v>0</v>
      </c>
      <c r="F5" t="s">
        <v>100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91</v>
      </c>
      <c r="C6" t="s">
        <v>4</v>
      </c>
      <c r="D6" t="b">
        <v>1</v>
      </c>
      <c r="E6" t="b">
        <v>1</v>
      </c>
      <c r="F6" t="s">
        <v>101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91</v>
      </c>
      <c r="C7" t="s">
        <v>4</v>
      </c>
      <c r="D7" t="b">
        <v>0</v>
      </c>
      <c r="E7" t="b">
        <v>0</v>
      </c>
      <c r="F7" t="s">
        <v>102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91</v>
      </c>
      <c r="C8" t="s">
        <v>4</v>
      </c>
      <c r="D8" t="b">
        <v>1</v>
      </c>
      <c r="E8" t="b">
        <v>1</v>
      </c>
      <c r="F8" t="s">
        <v>103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91</v>
      </c>
      <c r="C9" t="s">
        <v>4</v>
      </c>
      <c r="D9" t="b">
        <v>0</v>
      </c>
      <c r="E9" t="b">
        <v>0</v>
      </c>
      <c r="F9" t="s">
        <v>104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91</v>
      </c>
      <c r="C10" t="s">
        <v>4</v>
      </c>
      <c r="D10" t="b">
        <v>1</v>
      </c>
      <c r="E10" t="b">
        <v>1</v>
      </c>
      <c r="F10" t="s">
        <v>105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91</v>
      </c>
      <c r="C11" t="s">
        <v>4</v>
      </c>
      <c r="D11" t="b">
        <v>0</v>
      </c>
      <c r="E11" t="b">
        <v>0</v>
      </c>
      <c r="F11" t="s">
        <v>106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91</v>
      </c>
      <c r="C12" t="s">
        <v>4</v>
      </c>
      <c r="D12" t="b">
        <v>1</v>
      </c>
      <c r="E12" t="b">
        <v>1</v>
      </c>
      <c r="F12" t="s">
        <v>107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91</v>
      </c>
      <c r="C13" t="s">
        <v>4</v>
      </c>
      <c r="D13" t="b">
        <v>0</v>
      </c>
      <c r="E13" t="b">
        <v>0</v>
      </c>
      <c r="F13" t="s">
        <v>108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91</v>
      </c>
      <c r="C14" t="s">
        <v>4</v>
      </c>
      <c r="D14" t="b">
        <v>1</v>
      </c>
      <c r="E14" t="b">
        <v>1</v>
      </c>
      <c r="F14" t="s">
        <v>109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91</v>
      </c>
      <c r="C15" t="s">
        <v>4</v>
      </c>
      <c r="D15" t="b">
        <v>0</v>
      </c>
      <c r="E15" t="b">
        <v>0</v>
      </c>
      <c r="F15" t="s">
        <v>110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91</v>
      </c>
      <c r="C16" t="s">
        <v>4</v>
      </c>
      <c r="D16" t="b">
        <v>0</v>
      </c>
      <c r="E16" t="b">
        <v>1</v>
      </c>
      <c r="F16" t="s">
        <v>111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91</v>
      </c>
      <c r="C17" t="s">
        <v>4</v>
      </c>
      <c r="D17" t="b">
        <v>1</v>
      </c>
      <c r="E17" t="b">
        <v>1</v>
      </c>
      <c r="F17" t="s">
        <v>112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91</v>
      </c>
      <c r="C18" t="s">
        <v>4</v>
      </c>
      <c r="D18" t="b">
        <v>0</v>
      </c>
      <c r="E18" t="b">
        <v>0</v>
      </c>
      <c r="F18" t="s">
        <v>113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91</v>
      </c>
      <c r="C19" t="s">
        <v>4</v>
      </c>
      <c r="D19" t="b">
        <v>1</v>
      </c>
      <c r="E19" t="b">
        <v>1</v>
      </c>
      <c r="F19" t="s">
        <v>114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91</v>
      </c>
      <c r="C20" t="s">
        <v>4</v>
      </c>
      <c r="D20" t="b">
        <v>0</v>
      </c>
      <c r="E20" t="b">
        <v>0</v>
      </c>
      <c r="F20" t="s">
        <v>115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91</v>
      </c>
      <c r="C21" t="s">
        <v>4</v>
      </c>
      <c r="D21" t="b">
        <v>0</v>
      </c>
      <c r="E21" t="b">
        <v>1</v>
      </c>
      <c r="F21" t="s">
        <v>116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91</v>
      </c>
      <c r="C22" t="s">
        <v>19</v>
      </c>
      <c r="D22" t="b">
        <v>0</v>
      </c>
      <c r="E22" t="b">
        <v>1</v>
      </c>
      <c r="F22" t="s">
        <v>117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91</v>
      </c>
      <c r="C23" t="s">
        <v>4</v>
      </c>
      <c r="D23" t="b">
        <v>0</v>
      </c>
      <c r="E23" t="b">
        <v>1</v>
      </c>
      <c r="F23" t="s">
        <v>118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91</v>
      </c>
      <c r="C24" t="s">
        <v>4</v>
      </c>
      <c r="D24" t="b">
        <v>0</v>
      </c>
      <c r="E24" t="b">
        <v>0</v>
      </c>
      <c r="F24" t="s">
        <v>119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91</v>
      </c>
      <c r="C25" t="s">
        <v>4</v>
      </c>
      <c r="D25" t="b">
        <v>1</v>
      </c>
      <c r="E25" t="b">
        <v>1</v>
      </c>
      <c r="F25" t="s">
        <v>120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93</v>
      </c>
      <c r="C26" t="s">
        <v>4</v>
      </c>
      <c r="D26" t="b">
        <v>0</v>
      </c>
      <c r="E26" t="b">
        <v>0</v>
      </c>
      <c r="F26" t="s">
        <v>121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93</v>
      </c>
      <c r="C27" t="s">
        <v>4</v>
      </c>
      <c r="D27" t="b">
        <v>1</v>
      </c>
      <c r="E27" t="b">
        <v>1</v>
      </c>
      <c r="F27" t="s">
        <v>122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93</v>
      </c>
      <c r="C28" t="s">
        <v>4</v>
      </c>
      <c r="D28" t="b">
        <v>0</v>
      </c>
      <c r="E28" t="b">
        <v>0</v>
      </c>
      <c r="F28" t="s">
        <v>123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93</v>
      </c>
      <c r="C29" t="s">
        <v>4</v>
      </c>
      <c r="D29" t="b">
        <v>1</v>
      </c>
      <c r="E29" t="b">
        <v>1</v>
      </c>
      <c r="F29" t="s">
        <v>124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93</v>
      </c>
      <c r="C30" t="s">
        <v>4</v>
      </c>
      <c r="D30" t="b">
        <v>0</v>
      </c>
      <c r="E30" t="b">
        <v>1</v>
      </c>
      <c r="F30" t="s">
        <v>125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93</v>
      </c>
      <c r="C31" t="s">
        <v>4</v>
      </c>
      <c r="D31" t="b">
        <v>1</v>
      </c>
      <c r="E31" t="b">
        <v>1</v>
      </c>
      <c r="F31" t="s">
        <v>126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93</v>
      </c>
      <c r="C32" t="s">
        <v>4</v>
      </c>
      <c r="D32" t="b">
        <v>0</v>
      </c>
      <c r="E32" t="b">
        <v>1</v>
      </c>
      <c r="F32" t="s">
        <v>127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93</v>
      </c>
      <c r="C33" t="s">
        <v>4</v>
      </c>
      <c r="D33" t="b">
        <v>1</v>
      </c>
      <c r="E33" t="b">
        <v>1</v>
      </c>
      <c r="F33" t="s">
        <v>128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93</v>
      </c>
      <c r="C34" t="s">
        <v>4</v>
      </c>
      <c r="D34" t="b">
        <v>0</v>
      </c>
      <c r="E34" t="b">
        <v>1</v>
      </c>
      <c r="F34" t="s">
        <v>129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93</v>
      </c>
      <c r="C35" t="s">
        <v>4</v>
      </c>
      <c r="D35" t="b">
        <v>1</v>
      </c>
      <c r="E35" t="b">
        <v>1</v>
      </c>
      <c r="F35" t="s">
        <v>130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93</v>
      </c>
      <c r="C36" t="s">
        <v>4</v>
      </c>
      <c r="D36" t="b">
        <v>0</v>
      </c>
      <c r="E36" t="b">
        <v>1</v>
      </c>
      <c r="F36" t="s">
        <v>131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93</v>
      </c>
      <c r="C37" t="s">
        <v>4</v>
      </c>
      <c r="D37" t="b">
        <v>0</v>
      </c>
      <c r="E37" t="b">
        <v>0</v>
      </c>
      <c r="F37" t="s">
        <v>132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93</v>
      </c>
      <c r="C38" t="s">
        <v>4</v>
      </c>
      <c r="D38" t="b">
        <v>1</v>
      </c>
      <c r="E38" t="b">
        <v>1</v>
      </c>
      <c r="F38" t="s">
        <v>133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93</v>
      </c>
      <c r="C39" t="s">
        <v>4</v>
      </c>
      <c r="D39" t="b">
        <v>0</v>
      </c>
      <c r="E39" t="b">
        <v>0</v>
      </c>
      <c r="F39" t="s">
        <v>134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93</v>
      </c>
      <c r="C40" t="s">
        <v>4</v>
      </c>
      <c r="D40" t="b">
        <v>1</v>
      </c>
      <c r="E40" t="b">
        <v>1</v>
      </c>
      <c r="F40" t="s">
        <v>135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93</v>
      </c>
      <c r="C41" t="s">
        <v>4</v>
      </c>
      <c r="D41" t="b">
        <v>0</v>
      </c>
      <c r="E41" t="b">
        <v>0</v>
      </c>
      <c r="F41" t="s">
        <v>136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93</v>
      </c>
      <c r="C42" t="s">
        <v>4</v>
      </c>
      <c r="D42" t="b">
        <v>1</v>
      </c>
      <c r="E42" t="b">
        <v>1</v>
      </c>
      <c r="F42" t="s">
        <v>137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93</v>
      </c>
      <c r="C43" t="s">
        <v>4</v>
      </c>
      <c r="D43" t="b">
        <v>0</v>
      </c>
      <c r="E43" t="b">
        <v>1</v>
      </c>
      <c r="F43" t="s">
        <v>138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93</v>
      </c>
      <c r="C44" t="s">
        <v>4</v>
      </c>
      <c r="D44" t="b">
        <v>0</v>
      </c>
      <c r="E44" t="b">
        <v>1</v>
      </c>
      <c r="F44" t="s">
        <v>139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93</v>
      </c>
      <c r="C45" t="s">
        <v>4</v>
      </c>
      <c r="D45" t="b">
        <v>0</v>
      </c>
      <c r="E45" t="b">
        <v>0</v>
      </c>
      <c r="F45" t="s">
        <v>140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93</v>
      </c>
      <c r="C46" t="s">
        <v>4</v>
      </c>
      <c r="D46" t="b">
        <v>1</v>
      </c>
      <c r="E46" t="b">
        <v>1</v>
      </c>
      <c r="F46" t="s">
        <v>141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93</v>
      </c>
      <c r="C47" t="s">
        <v>4</v>
      </c>
      <c r="D47" t="b">
        <v>0</v>
      </c>
      <c r="E47" t="b">
        <v>0</v>
      </c>
      <c r="F47" t="s">
        <v>142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93</v>
      </c>
      <c r="C48" t="s">
        <v>4</v>
      </c>
      <c r="D48" t="b">
        <v>0</v>
      </c>
      <c r="E48" t="b">
        <v>1</v>
      </c>
      <c r="F48" t="s">
        <v>215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93</v>
      </c>
      <c r="C49" t="s">
        <v>4</v>
      </c>
      <c r="D49" t="b">
        <v>1</v>
      </c>
      <c r="E49" t="b">
        <v>1</v>
      </c>
      <c r="F49" t="s">
        <v>143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94</v>
      </c>
      <c r="C50" t="s">
        <v>6</v>
      </c>
      <c r="D50" t="b">
        <v>0</v>
      </c>
      <c r="E50" t="b">
        <v>1</v>
      </c>
      <c r="F50" t="s">
        <v>269</v>
      </c>
      <c r="G50" t="s">
        <v>270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94</v>
      </c>
      <c r="C51" t="s">
        <v>4</v>
      </c>
      <c r="D51" t="b">
        <v>0</v>
      </c>
      <c r="E51" t="b">
        <v>0</v>
      </c>
      <c r="F51" t="s">
        <v>145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94</v>
      </c>
      <c r="C52" t="s">
        <v>4</v>
      </c>
      <c r="D52" t="b">
        <v>1</v>
      </c>
      <c r="E52" t="b">
        <v>1</v>
      </c>
      <c r="F52" t="s">
        <v>146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94</v>
      </c>
      <c r="C53" t="s">
        <v>4</v>
      </c>
      <c r="D53" t="b">
        <v>0</v>
      </c>
      <c r="E53" t="b">
        <v>0</v>
      </c>
      <c r="F53" t="s">
        <v>147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94</v>
      </c>
      <c r="C54" t="s">
        <v>4</v>
      </c>
      <c r="D54" t="b">
        <v>1</v>
      </c>
      <c r="E54" t="b">
        <v>1</v>
      </c>
      <c r="F54" t="s">
        <v>148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94</v>
      </c>
      <c r="C55" t="s">
        <v>4</v>
      </c>
      <c r="D55" t="b">
        <v>0</v>
      </c>
      <c r="E55" t="b">
        <v>0</v>
      </c>
      <c r="F55" t="s">
        <v>149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94</v>
      </c>
      <c r="C56" t="s">
        <v>4</v>
      </c>
      <c r="D56" t="b">
        <v>1</v>
      </c>
      <c r="E56" t="b">
        <v>1</v>
      </c>
      <c r="F56" t="s">
        <v>150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94</v>
      </c>
      <c r="C57" t="s">
        <v>4</v>
      </c>
      <c r="D57" t="b">
        <v>0</v>
      </c>
      <c r="E57" t="b">
        <v>1</v>
      </c>
      <c r="F57" t="s">
        <v>151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94</v>
      </c>
      <c r="C58" t="s">
        <v>4</v>
      </c>
      <c r="D58" t="b">
        <v>0</v>
      </c>
      <c r="E58" t="b">
        <v>0</v>
      </c>
      <c r="F58" t="s">
        <v>152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94</v>
      </c>
      <c r="C59" t="s">
        <v>4</v>
      </c>
      <c r="D59" t="b">
        <v>1</v>
      </c>
      <c r="E59" t="b">
        <v>1</v>
      </c>
      <c r="F59" t="s">
        <v>153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94</v>
      </c>
      <c r="C60" t="s">
        <v>4</v>
      </c>
      <c r="D60" t="b">
        <v>0</v>
      </c>
      <c r="E60" t="b">
        <v>0</v>
      </c>
      <c r="F60" t="s">
        <v>154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94</v>
      </c>
      <c r="C61" t="s">
        <v>4</v>
      </c>
      <c r="D61" t="b">
        <v>1</v>
      </c>
      <c r="E61" t="b">
        <v>1</v>
      </c>
      <c r="F61" t="s">
        <v>155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94</v>
      </c>
      <c r="C62" t="s">
        <v>4</v>
      </c>
      <c r="D62" t="b">
        <v>0</v>
      </c>
      <c r="E62" t="b">
        <v>1</v>
      </c>
      <c r="F62" t="s">
        <v>156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94</v>
      </c>
      <c r="C63" t="s">
        <v>4</v>
      </c>
      <c r="D63" t="b">
        <v>0</v>
      </c>
      <c r="E63" t="b">
        <v>0</v>
      </c>
      <c r="F63" t="s">
        <v>157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94</v>
      </c>
      <c r="C64" t="s">
        <v>4</v>
      </c>
      <c r="D64" t="b">
        <v>0</v>
      </c>
      <c r="E64" t="b">
        <v>1</v>
      </c>
      <c r="F64" t="s">
        <v>273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94</v>
      </c>
      <c r="C65" t="s">
        <v>4</v>
      </c>
      <c r="D65" t="b">
        <v>0</v>
      </c>
      <c r="E65" t="b">
        <v>0</v>
      </c>
      <c r="F65" t="s">
        <v>158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94</v>
      </c>
      <c r="C66" t="s">
        <v>4</v>
      </c>
      <c r="D66" t="b">
        <v>0</v>
      </c>
      <c r="E66" t="b">
        <v>1</v>
      </c>
      <c r="F66" t="s">
        <v>275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94</v>
      </c>
      <c r="C67" t="s">
        <v>4</v>
      </c>
      <c r="D67" t="b">
        <v>0</v>
      </c>
      <c r="E67" t="b">
        <v>0</v>
      </c>
      <c r="F67" t="s">
        <v>159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94</v>
      </c>
      <c r="C68" t="s">
        <v>4</v>
      </c>
      <c r="D68" t="b">
        <v>0</v>
      </c>
      <c r="E68" t="b">
        <v>1</v>
      </c>
      <c r="F68" t="s">
        <v>274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94</v>
      </c>
      <c r="C69" t="s">
        <v>4</v>
      </c>
      <c r="D69" t="b">
        <v>0</v>
      </c>
      <c r="E69" t="b">
        <v>0</v>
      </c>
      <c r="F69" t="s">
        <v>160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94</v>
      </c>
      <c r="C70" t="s">
        <v>4</v>
      </c>
      <c r="D70" t="b">
        <v>1</v>
      </c>
      <c r="E70" t="b">
        <v>1</v>
      </c>
      <c r="F70" t="s">
        <v>161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94</v>
      </c>
      <c r="C71" t="s">
        <v>4</v>
      </c>
      <c r="D71" t="b">
        <v>0</v>
      </c>
      <c r="E71" t="b">
        <v>0</v>
      </c>
      <c r="F71" t="s">
        <v>162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94</v>
      </c>
      <c r="C72" t="s">
        <v>4</v>
      </c>
      <c r="D72" t="b">
        <v>1</v>
      </c>
      <c r="E72" t="b">
        <v>1</v>
      </c>
      <c r="F72" t="s">
        <v>163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94</v>
      </c>
      <c r="C73" t="s">
        <v>4</v>
      </c>
      <c r="D73" t="b">
        <v>0</v>
      </c>
      <c r="E73" t="b">
        <v>1</v>
      </c>
      <c r="F73" t="s">
        <v>164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94</v>
      </c>
      <c r="C74" t="s">
        <v>4</v>
      </c>
      <c r="D74" t="b">
        <v>0</v>
      </c>
      <c r="E74" t="b">
        <v>0</v>
      </c>
      <c r="F74" t="s">
        <v>165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94</v>
      </c>
      <c r="C75" t="s">
        <v>4</v>
      </c>
      <c r="D75" t="b">
        <v>1</v>
      </c>
      <c r="E75" t="b">
        <v>1</v>
      </c>
      <c r="F75" t="s">
        <v>166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94</v>
      </c>
      <c r="C76" t="s">
        <v>4</v>
      </c>
      <c r="D76" t="b">
        <v>0</v>
      </c>
      <c r="E76" t="b">
        <v>0</v>
      </c>
      <c r="F76" t="s">
        <v>167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94</v>
      </c>
      <c r="C77" t="s">
        <v>4</v>
      </c>
      <c r="D77" t="b">
        <v>1</v>
      </c>
      <c r="E77" t="b">
        <v>1</v>
      </c>
      <c r="F77" t="s">
        <v>168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94</v>
      </c>
      <c r="C78" t="s">
        <v>4</v>
      </c>
      <c r="D78" t="b">
        <v>0</v>
      </c>
      <c r="E78" t="b">
        <v>0</v>
      </c>
      <c r="F78" t="s">
        <v>169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94</v>
      </c>
      <c r="C79" t="s">
        <v>4</v>
      </c>
      <c r="D79" t="b">
        <v>1</v>
      </c>
      <c r="E79" t="b">
        <v>1</v>
      </c>
      <c r="F79" t="s">
        <v>170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94</v>
      </c>
      <c r="C80" t="s">
        <v>4</v>
      </c>
      <c r="D80" t="b">
        <v>0</v>
      </c>
      <c r="E80" t="b">
        <v>0</v>
      </c>
      <c r="F80" t="s">
        <v>171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94</v>
      </c>
      <c r="C81" t="s">
        <v>4</v>
      </c>
      <c r="D81" t="b">
        <v>1</v>
      </c>
      <c r="E81" t="b">
        <v>1</v>
      </c>
      <c r="F81" t="s">
        <v>172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94</v>
      </c>
      <c r="C82" t="s">
        <v>4</v>
      </c>
      <c r="D82" t="b">
        <v>0</v>
      </c>
      <c r="E82" t="b">
        <v>0</v>
      </c>
      <c r="F82" t="s">
        <v>173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94</v>
      </c>
      <c r="C83" t="s">
        <v>4</v>
      </c>
      <c r="D83" t="b">
        <v>1</v>
      </c>
      <c r="E83" t="b">
        <v>1</v>
      </c>
      <c r="F83" t="s">
        <v>174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94</v>
      </c>
      <c r="C84" t="s">
        <v>4</v>
      </c>
      <c r="D84" t="b">
        <v>0</v>
      </c>
      <c r="E84" t="b">
        <v>0</v>
      </c>
      <c r="F84" t="s">
        <v>175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94</v>
      </c>
      <c r="C85" t="s">
        <v>4</v>
      </c>
      <c r="D85" t="b">
        <v>1</v>
      </c>
      <c r="E85" t="b">
        <v>1</v>
      </c>
      <c r="F85" t="s">
        <v>176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94</v>
      </c>
      <c r="C86" t="s">
        <v>4</v>
      </c>
      <c r="D86" t="b">
        <v>0</v>
      </c>
      <c r="E86" t="b">
        <v>0</v>
      </c>
      <c r="F86" t="s">
        <v>177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94</v>
      </c>
      <c r="C87" t="s">
        <v>4</v>
      </c>
      <c r="D87" t="b">
        <v>0</v>
      </c>
      <c r="E87" t="b">
        <v>1</v>
      </c>
      <c r="F87" t="s">
        <v>276</v>
      </c>
      <c r="G87" t="s">
        <v>216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94</v>
      </c>
      <c r="C88" t="s">
        <v>6</v>
      </c>
      <c r="D88" t="b">
        <v>0</v>
      </c>
      <c r="E88" t="b">
        <v>1</v>
      </c>
      <c r="F88" t="s">
        <v>178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94</v>
      </c>
      <c r="C89" t="s">
        <v>6</v>
      </c>
      <c r="D89" t="b">
        <v>0</v>
      </c>
      <c r="E89" t="b">
        <v>1</v>
      </c>
      <c r="F89" t="s">
        <v>271</v>
      </c>
      <c r="G89" t="s">
        <v>272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94</v>
      </c>
      <c r="C90" t="s">
        <v>4</v>
      </c>
      <c r="D90" t="b">
        <v>0</v>
      </c>
      <c r="E90" t="b">
        <v>1</v>
      </c>
      <c r="F90" t="s">
        <v>179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94</v>
      </c>
      <c r="C91" t="s">
        <v>4</v>
      </c>
      <c r="D91" t="b">
        <v>0</v>
      </c>
      <c r="E91" t="b">
        <v>1</v>
      </c>
      <c r="F91" t="s">
        <v>180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94</v>
      </c>
      <c r="C92" t="s">
        <v>4</v>
      </c>
      <c r="D92" t="b">
        <v>0</v>
      </c>
      <c r="E92" t="b">
        <v>1</v>
      </c>
      <c r="F92" t="s">
        <v>181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94</v>
      </c>
      <c r="C93" t="s">
        <v>4</v>
      </c>
      <c r="D93" t="b">
        <v>0</v>
      </c>
      <c r="E93" t="b">
        <v>0</v>
      </c>
      <c r="F93" t="s">
        <v>182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94</v>
      </c>
      <c r="C94" t="s">
        <v>4</v>
      </c>
      <c r="D94" t="b">
        <v>1</v>
      </c>
      <c r="E94" t="b">
        <v>1</v>
      </c>
      <c r="F94" t="s">
        <v>183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94</v>
      </c>
      <c r="C95" t="s">
        <v>4</v>
      </c>
      <c r="D95" t="b">
        <v>0</v>
      </c>
      <c r="E95" t="b">
        <v>0</v>
      </c>
      <c r="F95" t="s">
        <v>184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94</v>
      </c>
      <c r="C96" t="s">
        <v>4</v>
      </c>
      <c r="D96" t="b">
        <v>1</v>
      </c>
      <c r="E96" t="b">
        <v>1</v>
      </c>
      <c r="F96" t="s">
        <v>185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94</v>
      </c>
      <c r="C97" t="s">
        <v>4</v>
      </c>
      <c r="D97" t="b">
        <v>0</v>
      </c>
      <c r="E97" t="b">
        <v>0</v>
      </c>
      <c r="F97" t="s">
        <v>186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94</v>
      </c>
      <c r="C98" t="s">
        <v>4</v>
      </c>
      <c r="D98" t="b">
        <v>1</v>
      </c>
      <c r="E98" t="b">
        <v>1</v>
      </c>
      <c r="F98" t="s">
        <v>187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94</v>
      </c>
      <c r="C99" t="s">
        <v>4</v>
      </c>
      <c r="D99" t="b">
        <v>0</v>
      </c>
      <c r="E99" t="b">
        <v>0</v>
      </c>
      <c r="F99" t="s">
        <v>188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94</v>
      </c>
      <c r="C100" t="s">
        <v>4</v>
      </c>
      <c r="D100" t="b">
        <v>1</v>
      </c>
      <c r="E100" t="b">
        <v>1</v>
      </c>
      <c r="F100" t="s">
        <v>189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94</v>
      </c>
      <c r="C101" t="s">
        <v>4</v>
      </c>
      <c r="D101" t="b">
        <v>0</v>
      </c>
      <c r="E101" t="b">
        <v>0</v>
      </c>
      <c r="F101" t="s">
        <v>190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94</v>
      </c>
      <c r="C102" t="s">
        <v>4</v>
      </c>
      <c r="D102" t="b">
        <v>1</v>
      </c>
      <c r="E102" t="b">
        <v>1</v>
      </c>
      <c r="F102" t="s">
        <v>191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94</v>
      </c>
      <c r="C103" t="s">
        <v>4</v>
      </c>
      <c r="D103" t="b">
        <v>0</v>
      </c>
      <c r="E103" t="b">
        <v>0</v>
      </c>
      <c r="F103" t="s">
        <v>192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94</v>
      </c>
      <c r="C104" t="s">
        <v>4</v>
      </c>
      <c r="D104" t="b">
        <v>1</v>
      </c>
      <c r="E104" t="b">
        <v>1</v>
      </c>
      <c r="F104" t="s">
        <v>193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94</v>
      </c>
      <c r="C105" t="s">
        <v>4</v>
      </c>
      <c r="D105" t="b">
        <v>0</v>
      </c>
      <c r="E105" t="b">
        <v>0</v>
      </c>
      <c r="F105" t="s">
        <v>194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94</v>
      </c>
      <c r="C106" t="s">
        <v>4</v>
      </c>
      <c r="D106" t="b">
        <v>1</v>
      </c>
      <c r="E106" t="b">
        <v>1</v>
      </c>
      <c r="F106" t="s">
        <v>195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94</v>
      </c>
      <c r="C107" t="s">
        <v>4</v>
      </c>
      <c r="D107" t="b">
        <v>0</v>
      </c>
      <c r="E107" t="b">
        <v>0</v>
      </c>
      <c r="F107" t="s">
        <v>196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94</v>
      </c>
      <c r="C108" t="s">
        <v>4</v>
      </c>
      <c r="D108" t="b">
        <v>1</v>
      </c>
      <c r="E108" t="b">
        <v>1</v>
      </c>
      <c r="F108" t="s">
        <v>197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94</v>
      </c>
      <c r="C109" t="s">
        <v>4</v>
      </c>
      <c r="D109" t="b">
        <v>0</v>
      </c>
      <c r="E109" t="b">
        <v>0</v>
      </c>
      <c r="F109" t="s">
        <v>198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94</v>
      </c>
      <c r="C110" t="s">
        <v>4</v>
      </c>
      <c r="D110" t="b">
        <v>1</v>
      </c>
      <c r="E110" t="b">
        <v>1</v>
      </c>
      <c r="F110" t="s">
        <v>199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94</v>
      </c>
      <c r="C111" t="s">
        <v>4</v>
      </c>
      <c r="D111" t="b">
        <v>0</v>
      </c>
      <c r="E111" t="b">
        <v>0</v>
      </c>
      <c r="F111" t="s">
        <v>200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94</v>
      </c>
      <c r="C112" t="s">
        <v>4</v>
      </c>
      <c r="D112" t="b">
        <v>1</v>
      </c>
      <c r="E112" t="b">
        <v>1</v>
      </c>
      <c r="F112" t="s">
        <v>201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94</v>
      </c>
      <c r="C113" t="s">
        <v>4</v>
      </c>
      <c r="D113" t="b">
        <v>0</v>
      </c>
      <c r="E113" t="b">
        <v>0</v>
      </c>
      <c r="F113" t="s">
        <v>202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94</v>
      </c>
      <c r="C114" t="s">
        <v>4</v>
      </c>
      <c r="D114" t="b">
        <v>1</v>
      </c>
      <c r="E114" t="b">
        <v>1</v>
      </c>
      <c r="F114" t="s">
        <v>203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94</v>
      </c>
      <c r="C115" t="s">
        <v>4</v>
      </c>
      <c r="D115" t="b">
        <v>0</v>
      </c>
      <c r="E115" t="b">
        <v>0</v>
      </c>
      <c r="F115" t="s">
        <v>204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94</v>
      </c>
      <c r="C116" t="s">
        <v>4</v>
      </c>
      <c r="D116" t="b">
        <v>1</v>
      </c>
      <c r="E116" t="b">
        <v>1</v>
      </c>
      <c r="F116" t="s">
        <v>205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94</v>
      </c>
      <c r="C117" t="s">
        <v>4</v>
      </c>
      <c r="D117" t="b">
        <v>0</v>
      </c>
      <c r="E117" t="b">
        <v>1</v>
      </c>
      <c r="F117" t="s">
        <v>206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94</v>
      </c>
      <c r="C118" t="s">
        <v>4</v>
      </c>
      <c r="D118" t="b">
        <v>0</v>
      </c>
      <c r="E118" t="b">
        <v>0</v>
      </c>
      <c r="F118" t="s">
        <v>207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94</v>
      </c>
      <c r="C119" t="s">
        <v>4</v>
      </c>
      <c r="D119" t="b">
        <v>1</v>
      </c>
      <c r="E119" t="b">
        <v>1</v>
      </c>
      <c r="F119" t="s">
        <v>208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94</v>
      </c>
      <c r="C120" t="s">
        <v>4</v>
      </c>
      <c r="D120" t="b">
        <v>0</v>
      </c>
      <c r="E120" t="b">
        <v>0</v>
      </c>
      <c r="F120" t="s">
        <v>209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94</v>
      </c>
      <c r="C121" t="s">
        <v>4</v>
      </c>
      <c r="D121" t="b">
        <v>1</v>
      </c>
      <c r="E121" t="b">
        <v>1</v>
      </c>
      <c r="F121" t="s">
        <v>210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94</v>
      </c>
      <c r="C122" t="s">
        <v>4</v>
      </c>
      <c r="D122" t="b">
        <v>0</v>
      </c>
      <c r="E122" t="b">
        <v>0</v>
      </c>
      <c r="F122" t="s">
        <v>211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94</v>
      </c>
      <c r="C123" t="s">
        <v>4</v>
      </c>
      <c r="D123" t="b">
        <v>1</v>
      </c>
      <c r="E123" t="b">
        <v>1</v>
      </c>
      <c r="F123" t="s">
        <v>212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94</v>
      </c>
      <c r="C124" t="s">
        <v>4</v>
      </c>
      <c r="D124" t="b">
        <v>0</v>
      </c>
      <c r="E124" t="b">
        <v>1</v>
      </c>
      <c r="F124" t="s">
        <v>213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95</v>
      </c>
      <c r="C125" t="s">
        <v>6</v>
      </c>
      <c r="D125" t="b">
        <v>0</v>
      </c>
      <c r="E125" t="b">
        <v>1</v>
      </c>
      <c r="F125" t="s">
        <v>144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95</v>
      </c>
      <c r="C126" t="s">
        <v>6</v>
      </c>
      <c r="D126" t="b">
        <v>0</v>
      </c>
      <c r="E126" t="b">
        <v>1</v>
      </c>
      <c r="F126" t="s">
        <v>224</v>
      </c>
      <c r="G126" t="s">
        <v>223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95</v>
      </c>
      <c r="C127" t="s">
        <v>6</v>
      </c>
      <c r="D127" t="b">
        <v>0</v>
      </c>
      <c r="E127" t="b">
        <v>1</v>
      </c>
      <c r="F127" t="s">
        <v>327</v>
      </c>
      <c r="G127" t="s">
        <v>328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95</v>
      </c>
      <c r="C128" t="s">
        <v>6</v>
      </c>
      <c r="D128" t="b">
        <v>0</v>
      </c>
      <c r="E128" t="b">
        <v>1</v>
      </c>
      <c r="F128" t="s">
        <v>332</v>
      </c>
      <c r="G128" t="s">
        <v>333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95</v>
      </c>
      <c r="C129" t="s">
        <v>6</v>
      </c>
      <c r="D129" t="b">
        <v>0</v>
      </c>
      <c r="E129" t="b">
        <v>1</v>
      </c>
      <c r="F129" t="s">
        <v>325</v>
      </c>
      <c r="G129" t="s">
        <v>326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95</v>
      </c>
      <c r="C130" t="s">
        <v>4</v>
      </c>
      <c r="D130" t="b">
        <v>0</v>
      </c>
      <c r="E130" t="b">
        <v>1</v>
      </c>
      <c r="F130" t="s">
        <v>286</v>
      </c>
      <c r="G130" t="s">
        <v>290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95</v>
      </c>
      <c r="C131" t="s">
        <v>4</v>
      </c>
      <c r="D131" t="b">
        <v>0</v>
      </c>
      <c r="E131" t="b">
        <v>0</v>
      </c>
      <c r="F131" t="s">
        <v>100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95</v>
      </c>
      <c r="C132" t="s">
        <v>4</v>
      </c>
      <c r="D132" t="b">
        <v>1</v>
      </c>
      <c r="E132" t="b">
        <v>1</v>
      </c>
      <c r="F132" t="s">
        <v>99</v>
      </c>
      <c r="G132" t="s">
        <v>291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95</v>
      </c>
      <c r="C133" t="s">
        <v>4</v>
      </c>
      <c r="D133" t="b">
        <v>0</v>
      </c>
      <c r="E133" t="b">
        <v>0</v>
      </c>
      <c r="F133" t="s">
        <v>288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95</v>
      </c>
      <c r="C134" t="s">
        <v>4</v>
      </c>
      <c r="D134" t="b">
        <v>1</v>
      </c>
      <c r="E134" t="b">
        <v>1</v>
      </c>
      <c r="F134" t="s">
        <v>289</v>
      </c>
      <c r="G134" t="s">
        <v>287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95</v>
      </c>
      <c r="C135" t="s">
        <v>4</v>
      </c>
      <c r="D135" t="b">
        <v>0</v>
      </c>
      <c r="E135" t="b">
        <v>0</v>
      </c>
      <c r="F135" t="s">
        <v>277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95</v>
      </c>
      <c r="C136" t="s">
        <v>4</v>
      </c>
      <c r="D136" t="b">
        <v>1</v>
      </c>
      <c r="E136" t="b">
        <v>1</v>
      </c>
      <c r="F136" t="s">
        <v>278</v>
      </c>
      <c r="G136" t="s">
        <v>279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95</v>
      </c>
      <c r="C137" t="s">
        <v>4</v>
      </c>
      <c r="D137" t="b">
        <v>0</v>
      </c>
      <c r="E137" t="b">
        <v>0</v>
      </c>
      <c r="F137" t="s">
        <v>281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95</v>
      </c>
      <c r="C138" t="s">
        <v>4</v>
      </c>
      <c r="D138" t="b">
        <v>1</v>
      </c>
      <c r="E138" t="b">
        <v>1</v>
      </c>
      <c r="F138" t="s">
        <v>282</v>
      </c>
      <c r="G138" t="s">
        <v>280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95</v>
      </c>
      <c r="C139" t="s">
        <v>4</v>
      </c>
      <c r="D139" t="b">
        <v>0</v>
      </c>
      <c r="E139" t="b">
        <v>0</v>
      </c>
      <c r="F139" t="s">
        <v>285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95</v>
      </c>
      <c r="C140" t="s">
        <v>4</v>
      </c>
      <c r="D140" t="b">
        <v>1</v>
      </c>
      <c r="E140" t="b">
        <v>1</v>
      </c>
      <c r="F140" t="s">
        <v>284</v>
      </c>
      <c r="G140" t="s">
        <v>283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95</v>
      </c>
      <c r="C141" t="s">
        <v>4</v>
      </c>
      <c r="D141" t="b">
        <v>0</v>
      </c>
      <c r="E141" t="b">
        <v>1</v>
      </c>
      <c r="F141" t="s">
        <v>292</v>
      </c>
      <c r="G141" t="s">
        <v>293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95</v>
      </c>
      <c r="C142" t="s">
        <v>4</v>
      </c>
      <c r="D142" t="b">
        <v>0</v>
      </c>
      <c r="E142" t="b">
        <v>0</v>
      </c>
      <c r="F142" t="s">
        <v>299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95</v>
      </c>
      <c r="C143" t="s">
        <v>4</v>
      </c>
      <c r="D143" t="b">
        <v>1</v>
      </c>
      <c r="E143" t="b">
        <v>1</v>
      </c>
      <c r="F143" t="s">
        <v>300</v>
      </c>
      <c r="G143" t="s">
        <v>302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95</v>
      </c>
      <c r="C144" t="s">
        <v>4</v>
      </c>
      <c r="D144" t="b">
        <v>0</v>
      </c>
      <c r="E144" t="b">
        <v>0</v>
      </c>
      <c r="F144" t="s">
        <v>294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95</v>
      </c>
      <c r="C145" t="s">
        <v>4</v>
      </c>
      <c r="D145" t="b">
        <v>1</v>
      </c>
      <c r="E145" t="b">
        <v>1</v>
      </c>
      <c r="F145" t="s">
        <v>295</v>
      </c>
      <c r="G145" t="s">
        <v>296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95</v>
      </c>
      <c r="C146" t="s">
        <v>4</v>
      </c>
      <c r="D146" t="b">
        <v>0</v>
      </c>
      <c r="E146" t="b">
        <v>0</v>
      </c>
      <c r="F146" t="s">
        <v>298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95</v>
      </c>
      <c r="C147" t="s">
        <v>4</v>
      </c>
      <c r="D147" t="b">
        <v>1</v>
      </c>
      <c r="E147" t="b">
        <v>1</v>
      </c>
      <c r="F147" t="s">
        <v>297</v>
      </c>
      <c r="G147" t="s">
        <v>301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95</v>
      </c>
      <c r="C148" t="s">
        <v>4</v>
      </c>
      <c r="D148" t="b">
        <v>0</v>
      </c>
      <c r="E148" t="b">
        <v>1</v>
      </c>
      <c r="F148" t="s">
        <v>304</v>
      </c>
      <c r="G148" t="s">
        <v>303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95</v>
      </c>
      <c r="C149" t="s">
        <v>4</v>
      </c>
      <c r="D149" t="b">
        <v>0</v>
      </c>
      <c r="E149" t="b">
        <v>0</v>
      </c>
      <c r="F149" t="s">
        <v>305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95</v>
      </c>
      <c r="C150" t="s">
        <v>4</v>
      </c>
      <c r="D150" t="b">
        <v>1</v>
      </c>
      <c r="E150" t="b">
        <v>1</v>
      </c>
      <c r="F150" t="s">
        <v>306</v>
      </c>
      <c r="G150" t="s">
        <v>309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95</v>
      </c>
      <c r="C151" t="s">
        <v>4</v>
      </c>
      <c r="D151" t="b">
        <v>0</v>
      </c>
      <c r="E151" t="b">
        <v>0</v>
      </c>
      <c r="F151" t="s">
        <v>307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95</v>
      </c>
      <c r="C152" t="s">
        <v>4</v>
      </c>
      <c r="D152" t="b">
        <v>1</v>
      </c>
      <c r="E152" t="b">
        <v>1</v>
      </c>
      <c r="F152" t="s">
        <v>308</v>
      </c>
      <c r="G152" t="s">
        <v>310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95</v>
      </c>
      <c r="C153" t="s">
        <v>4</v>
      </c>
      <c r="D153" t="b">
        <v>0</v>
      </c>
      <c r="E153" t="b">
        <v>0</v>
      </c>
      <c r="F153" t="s">
        <v>311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95</v>
      </c>
      <c r="C154" t="s">
        <v>4</v>
      </c>
      <c r="D154" t="b">
        <v>1</v>
      </c>
      <c r="E154" t="b">
        <v>1</v>
      </c>
      <c r="F154" t="s">
        <v>312</v>
      </c>
      <c r="G154" t="s">
        <v>313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95</v>
      </c>
      <c r="C155" t="s">
        <v>4</v>
      </c>
      <c r="D155" t="b">
        <v>0</v>
      </c>
      <c r="E155" t="b">
        <v>0</v>
      </c>
      <c r="F155" t="s">
        <v>217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95</v>
      </c>
      <c r="C156" t="s">
        <v>4</v>
      </c>
      <c r="D156" t="b">
        <v>1</v>
      </c>
      <c r="E156" t="b">
        <v>1</v>
      </c>
      <c r="F156" t="s">
        <v>218</v>
      </c>
      <c r="G156" t="s">
        <v>219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95</v>
      </c>
      <c r="C157" t="s">
        <v>4</v>
      </c>
      <c r="D157" t="b">
        <v>0</v>
      </c>
      <c r="E157" t="b">
        <v>0</v>
      </c>
      <c r="F157" t="s">
        <v>220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95</v>
      </c>
      <c r="C158" t="s">
        <v>4</v>
      </c>
      <c r="D158" t="b">
        <v>1</v>
      </c>
      <c r="E158" t="b">
        <v>1</v>
      </c>
      <c r="F158" t="s">
        <v>221</v>
      </c>
      <c r="G158" t="s">
        <v>222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95</v>
      </c>
      <c r="C159" t="s">
        <v>4</v>
      </c>
      <c r="D159" t="b">
        <v>0</v>
      </c>
      <c r="E159" t="b">
        <v>0</v>
      </c>
      <c r="F159" t="s">
        <v>225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95</v>
      </c>
      <c r="C160" t="s">
        <v>4</v>
      </c>
      <c r="D160" t="b">
        <v>1</v>
      </c>
      <c r="E160" t="b">
        <v>1</v>
      </c>
      <c r="F160" t="s">
        <v>314</v>
      </c>
      <c r="G160" t="s">
        <v>226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95</v>
      </c>
      <c r="C161" t="s">
        <v>4</v>
      </c>
      <c r="D161" t="b">
        <v>0</v>
      </c>
      <c r="E161" t="b">
        <v>0</v>
      </c>
      <c r="F161" t="s">
        <v>316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95</v>
      </c>
      <c r="C162" t="s">
        <v>4</v>
      </c>
      <c r="D162" t="b">
        <v>1</v>
      </c>
      <c r="E162" t="b">
        <v>1</v>
      </c>
      <c r="F162" t="s">
        <v>317</v>
      </c>
      <c r="G162" t="s">
        <v>315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95</v>
      </c>
      <c r="C163" t="s">
        <v>4</v>
      </c>
      <c r="D163" t="b">
        <v>0</v>
      </c>
      <c r="E163" t="b">
        <v>0</v>
      </c>
      <c r="F163" t="s">
        <v>318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95</v>
      </c>
      <c r="C164" t="s">
        <v>4</v>
      </c>
      <c r="D164" t="b">
        <v>1</v>
      </c>
      <c r="E164" t="b">
        <v>1</v>
      </c>
      <c r="F164" t="s">
        <v>319</v>
      </c>
      <c r="G164" t="s">
        <v>320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95</v>
      </c>
      <c r="C165" t="s">
        <v>4</v>
      </c>
      <c r="D165" t="b">
        <v>0</v>
      </c>
      <c r="E165" t="b">
        <v>0</v>
      </c>
      <c r="F165" t="s">
        <v>145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95</v>
      </c>
      <c r="C166" t="s">
        <v>4</v>
      </c>
      <c r="D166" t="b">
        <v>1</v>
      </c>
      <c r="E166" t="b">
        <v>1</v>
      </c>
      <c r="F166" t="s">
        <v>146</v>
      </c>
      <c r="G166" t="s">
        <v>322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95</v>
      </c>
      <c r="C167" t="s">
        <v>4</v>
      </c>
      <c r="D167" t="b">
        <v>0</v>
      </c>
      <c r="E167" t="b">
        <v>1</v>
      </c>
      <c r="F167" t="s">
        <v>147</v>
      </c>
      <c r="G167" t="s">
        <v>321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95</v>
      </c>
      <c r="C168" t="s">
        <v>4</v>
      </c>
      <c r="D168" t="b">
        <v>0</v>
      </c>
      <c r="E168" t="b">
        <v>1</v>
      </c>
      <c r="F168" t="s">
        <v>149</v>
      </c>
      <c r="G168" t="s">
        <v>324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95</v>
      </c>
      <c r="C169" t="s">
        <v>4</v>
      </c>
      <c r="D169" t="b">
        <v>0</v>
      </c>
      <c r="E169" t="b">
        <v>1</v>
      </c>
      <c r="F169" t="s">
        <v>151</v>
      </c>
      <c r="G169" t="s">
        <v>323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96</v>
      </c>
      <c r="C170" t="s">
        <v>4</v>
      </c>
      <c r="D170" t="b">
        <v>0</v>
      </c>
      <c r="E170" t="b">
        <v>0</v>
      </c>
      <c r="F170" t="s">
        <v>227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96</v>
      </c>
      <c r="C171" t="s">
        <v>4</v>
      </c>
      <c r="D171" t="b">
        <v>1</v>
      </c>
      <c r="E171" t="b">
        <v>1</v>
      </c>
      <c r="F171" t="s">
        <v>228</v>
      </c>
      <c r="G171" t="s">
        <v>232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96</v>
      </c>
      <c r="C172" t="s">
        <v>4</v>
      </c>
      <c r="D172" t="b">
        <v>0</v>
      </c>
      <c r="E172" t="b">
        <v>0</v>
      </c>
      <c r="F172" t="s">
        <v>229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96</v>
      </c>
      <c r="C173" t="s">
        <v>4</v>
      </c>
      <c r="D173" t="b">
        <v>1</v>
      </c>
      <c r="E173" t="b">
        <v>1</v>
      </c>
      <c r="F173" t="s">
        <v>230</v>
      </c>
      <c r="G173" t="s">
        <v>231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96</v>
      </c>
      <c r="C174" t="s">
        <v>4</v>
      </c>
      <c r="D174" t="b">
        <v>0</v>
      </c>
      <c r="E174" t="b">
        <v>0</v>
      </c>
      <c r="F174" t="s">
        <v>233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96</v>
      </c>
      <c r="C175" t="s">
        <v>4</v>
      </c>
      <c r="D175" t="b">
        <v>0</v>
      </c>
      <c r="E175" t="b">
        <v>0</v>
      </c>
      <c r="F175" t="s">
        <v>234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96</v>
      </c>
      <c r="C176" t="s">
        <v>4</v>
      </c>
      <c r="D176" t="b">
        <v>1</v>
      </c>
      <c r="E176" t="b">
        <v>1</v>
      </c>
      <c r="F176" t="s">
        <v>235</v>
      </c>
      <c r="G176" t="s">
        <v>236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96</v>
      </c>
      <c r="C177" t="s">
        <v>4</v>
      </c>
      <c r="D177" t="b">
        <v>0</v>
      </c>
      <c r="E177" t="b">
        <v>0</v>
      </c>
      <c r="F177" t="s">
        <v>237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96</v>
      </c>
      <c r="C178" t="s">
        <v>4</v>
      </c>
      <c r="D178" t="b">
        <v>0</v>
      </c>
      <c r="E178" t="b">
        <v>0</v>
      </c>
      <c r="F178" t="s">
        <v>244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96</v>
      </c>
      <c r="C179" t="s">
        <v>4</v>
      </c>
      <c r="D179" t="b">
        <v>1</v>
      </c>
      <c r="E179" t="b">
        <v>1</v>
      </c>
      <c r="F179" t="s">
        <v>245</v>
      </c>
      <c r="G179" t="s">
        <v>246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96</v>
      </c>
      <c r="C180" t="s">
        <v>4</v>
      </c>
      <c r="D180" t="b">
        <v>0</v>
      </c>
      <c r="E180" t="b">
        <v>0</v>
      </c>
      <c r="F180" t="s">
        <v>247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96</v>
      </c>
      <c r="C181" t="s">
        <v>4</v>
      </c>
      <c r="D181" t="b">
        <v>1</v>
      </c>
      <c r="E181" t="b">
        <v>1</v>
      </c>
      <c r="F181" t="s">
        <v>248</v>
      </c>
      <c r="G181" t="s">
        <v>249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96</v>
      </c>
      <c r="C182" t="s">
        <v>4</v>
      </c>
      <c r="D182" t="b">
        <v>0</v>
      </c>
      <c r="E182" t="b">
        <v>0</v>
      </c>
      <c r="F182" t="s">
        <v>251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96</v>
      </c>
      <c r="C183" t="s">
        <v>4</v>
      </c>
      <c r="D183" t="b">
        <v>1</v>
      </c>
      <c r="E183" t="b">
        <v>1</v>
      </c>
      <c r="F183" t="s">
        <v>252</v>
      </c>
      <c r="G183" t="s">
        <v>250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96</v>
      </c>
      <c r="C184" t="s">
        <v>4</v>
      </c>
      <c r="D184" t="b">
        <v>0</v>
      </c>
      <c r="E184" t="b">
        <v>1</v>
      </c>
      <c r="F184" t="s">
        <v>254</v>
      </c>
      <c r="G184" t="s">
        <v>253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96</v>
      </c>
      <c r="C185" t="s">
        <v>4</v>
      </c>
      <c r="D185" t="b">
        <v>0</v>
      </c>
      <c r="E185" t="b">
        <v>0</v>
      </c>
      <c r="F185" t="s">
        <v>238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224" si="6">IF(E185,_xlfn.CONCAT("![",G185,"](figures/",B185,"/",F185,")",I185),"")</f>
        <v/>
      </c>
    </row>
    <row r="186" spans="1:10" x14ac:dyDescent="0.25">
      <c r="A186">
        <v>187</v>
      </c>
      <c r="B186" s="7" t="s">
        <v>96</v>
      </c>
      <c r="C186" t="s">
        <v>4</v>
      </c>
      <c r="D186" t="b">
        <v>1</v>
      </c>
      <c r="E186" t="b">
        <v>1</v>
      </c>
      <c r="F186" t="s">
        <v>239</v>
      </c>
      <c r="G186" t="s">
        <v>243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96</v>
      </c>
      <c r="C187" t="s">
        <v>4</v>
      </c>
      <c r="D187" t="b">
        <v>0</v>
      </c>
      <c r="E187" t="b">
        <v>0</v>
      </c>
      <c r="F187" t="s">
        <v>240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96</v>
      </c>
      <c r="C188" t="s">
        <v>4</v>
      </c>
      <c r="D188" t="b">
        <v>1</v>
      </c>
      <c r="E188" t="b">
        <v>1</v>
      </c>
      <c r="F188" t="s">
        <v>241</v>
      </c>
      <c r="G188" t="s">
        <v>242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96</v>
      </c>
      <c r="C189" t="s">
        <v>4</v>
      </c>
      <c r="D189" t="b">
        <v>0</v>
      </c>
      <c r="E189" t="b">
        <v>0</v>
      </c>
      <c r="F189" t="s">
        <v>255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96</v>
      </c>
      <c r="C190" t="s">
        <v>4</v>
      </c>
      <c r="D190" t="b">
        <v>0</v>
      </c>
      <c r="E190" t="b">
        <v>1</v>
      </c>
      <c r="F190" t="s">
        <v>256</v>
      </c>
      <c r="G190" t="s">
        <v>262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96</v>
      </c>
      <c r="C191" t="s">
        <v>4</v>
      </c>
      <c r="D191" t="b">
        <v>1</v>
      </c>
      <c r="E191" t="b">
        <v>1</v>
      </c>
      <c r="F191" t="s">
        <v>257</v>
      </c>
      <c r="G191" t="s">
        <v>258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96</v>
      </c>
      <c r="C192" t="s">
        <v>4</v>
      </c>
      <c r="D192" t="b">
        <v>0</v>
      </c>
      <c r="E192" t="b">
        <v>0</v>
      </c>
      <c r="F192" t="s">
        <v>259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96</v>
      </c>
      <c r="C193" t="s">
        <v>4</v>
      </c>
      <c r="D193" t="b">
        <v>1</v>
      </c>
      <c r="E193" t="b">
        <v>1</v>
      </c>
      <c r="F193" t="s">
        <v>260</v>
      </c>
      <c r="G193" t="s">
        <v>261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96</v>
      </c>
      <c r="C194" t="s">
        <v>4</v>
      </c>
      <c r="D194" t="b">
        <v>0</v>
      </c>
      <c r="E194" t="b">
        <v>0</v>
      </c>
      <c r="F194" t="s">
        <v>263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96</v>
      </c>
      <c r="C195" t="s">
        <v>4</v>
      </c>
      <c r="D195" t="b">
        <v>0</v>
      </c>
      <c r="E195" t="b">
        <v>1</v>
      </c>
      <c r="F195" t="s">
        <v>329</v>
      </c>
      <c r="G195" t="s">
        <v>264</v>
      </c>
      <c r="H195" s="1" t="str" cm="1">
        <f t="array" ref="H195">CRC16HASH(F195)</f>
        <v>71F5</v>
      </c>
      <c r="I195" t="str">
        <f t="shared" ref="I195:I215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96</v>
      </c>
      <c r="C196" t="s">
        <v>4</v>
      </c>
      <c r="D196" t="b">
        <v>0</v>
      </c>
      <c r="E196" t="b">
        <v>0</v>
      </c>
      <c r="F196" t="s">
        <v>265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96</v>
      </c>
      <c r="C197" t="s">
        <v>4</v>
      </c>
      <c r="D197" t="b">
        <v>0</v>
      </c>
      <c r="E197" t="b">
        <v>1</v>
      </c>
      <c r="F197" t="s">
        <v>331</v>
      </c>
      <c r="G197" t="s">
        <v>267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96</v>
      </c>
      <c r="C198" t="s">
        <v>4</v>
      </c>
      <c r="D198" t="b">
        <v>0</v>
      </c>
      <c r="E198" t="b">
        <v>0</v>
      </c>
      <c r="F198" t="s">
        <v>266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96</v>
      </c>
      <c r="C199" t="s">
        <v>4</v>
      </c>
      <c r="D199" t="b">
        <v>0</v>
      </c>
      <c r="E199" t="b">
        <v>1</v>
      </c>
      <c r="F199" t="s">
        <v>330</v>
      </c>
      <c r="G199" t="s">
        <v>268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  <row r="200" spans="1:10" x14ac:dyDescent="0.25">
      <c r="A200">
        <v>201</v>
      </c>
      <c r="B200" s="9" t="s">
        <v>353</v>
      </c>
      <c r="C200" t="s">
        <v>6</v>
      </c>
      <c r="D200" t="b">
        <v>0</v>
      </c>
      <c r="E200" t="b">
        <v>1</v>
      </c>
      <c r="F200" t="s">
        <v>354</v>
      </c>
      <c r="G200" t="s">
        <v>356</v>
      </c>
      <c r="H200" s="1" t="str" cm="1">
        <f t="array" ref="H200">CRC16HASH(F200)</f>
        <v>965B</v>
      </c>
      <c r="I200" t="str">
        <f t="shared" si="7"/>
        <v>{#fig-965B}</v>
      </c>
      <c r="J200" t="str">
        <f t="shared" si="6"/>
        <v>![Workflow template patterns](figures/wf/il_types_001_clean.png){#fig-965B}</v>
      </c>
    </row>
    <row r="201" spans="1:10" x14ac:dyDescent="0.25">
      <c r="A201">
        <v>202</v>
      </c>
      <c r="B201" s="9" t="s">
        <v>353</v>
      </c>
      <c r="C201" t="s">
        <v>4</v>
      </c>
      <c r="D201" t="b">
        <v>0</v>
      </c>
      <c r="E201" t="b">
        <v>0</v>
      </c>
      <c r="F201" t="s">
        <v>100</v>
      </c>
      <c r="H201" s="1" t="str" cm="1">
        <f t="array" ref="H201">CRC16HASH(F201)</f>
        <v>449C</v>
      </c>
      <c r="I201" t="str">
        <f t="shared" si="7"/>
        <v>{#fig-449C}</v>
      </c>
      <c r="J201" t="str">
        <f t="shared" si="6"/>
        <v/>
      </c>
    </row>
    <row r="202" spans="1:10" x14ac:dyDescent="0.25">
      <c r="A202">
        <v>203</v>
      </c>
      <c r="B202" s="9" t="s">
        <v>353</v>
      </c>
      <c r="C202" t="s">
        <v>4</v>
      </c>
      <c r="D202" t="b">
        <v>1</v>
      </c>
      <c r="E202" t="b">
        <v>1</v>
      </c>
      <c r="F202" t="s">
        <v>99</v>
      </c>
      <c r="G202" t="s">
        <v>355</v>
      </c>
      <c r="H202" s="1" t="str" cm="1">
        <f t="array" ref="H202">CRC16HASH(F202)</f>
        <v>693E</v>
      </c>
      <c r="I202" t="str">
        <f t="shared" si="7"/>
        <v>{#fig-693E}</v>
      </c>
      <c r="J202" t="str">
        <f t="shared" si="6"/>
        <v>![Locating Workflows from the Foundry UI](figures/wf/ss_portal_001_ann.png){#fig-693E}</v>
      </c>
    </row>
    <row r="203" spans="1:10" x14ac:dyDescent="0.25">
      <c r="A203">
        <v>204</v>
      </c>
      <c r="B203" s="9" t="s">
        <v>353</v>
      </c>
      <c r="C203" t="s">
        <v>4</v>
      </c>
      <c r="D203" t="b">
        <v>0</v>
      </c>
      <c r="E203" t="b">
        <v>0</v>
      </c>
      <c r="F203" t="s">
        <v>102</v>
      </c>
      <c r="H203" s="1" t="str" cm="1">
        <f t="array" ref="H203">CRC16HASH(F203)</f>
        <v>93</v>
      </c>
      <c r="I203" t="str">
        <f t="shared" si="7"/>
        <v>{#fig-93}</v>
      </c>
      <c r="J203" t="str">
        <f t="shared" si="6"/>
        <v/>
      </c>
    </row>
    <row r="204" spans="1:10" x14ac:dyDescent="0.25">
      <c r="A204">
        <v>205</v>
      </c>
      <c r="B204" s="9" t="s">
        <v>353</v>
      </c>
      <c r="C204" t="s">
        <v>4</v>
      </c>
      <c r="D204" t="b">
        <v>1</v>
      </c>
      <c r="E204" t="b">
        <v>1</v>
      </c>
      <c r="F204" t="s">
        <v>101</v>
      </c>
      <c r="G204" t="s">
        <v>357</v>
      </c>
      <c r="H204" s="1" t="str" cm="1">
        <f t="array" ref="H204">CRC16HASH(F204)</f>
        <v>992A</v>
      </c>
      <c r="I204" t="str">
        <f t="shared" si="7"/>
        <v>{#fig-992A}</v>
      </c>
      <c r="J204" t="str">
        <f t="shared" si="6"/>
        <v>![Selecting the Human in Loop workflow template](figures/wf/ss_portal_002_ann.png){#fig-992A}</v>
      </c>
    </row>
    <row r="205" spans="1:10" x14ac:dyDescent="0.25">
      <c r="A205">
        <v>206</v>
      </c>
      <c r="B205" s="9" t="s">
        <v>353</v>
      </c>
      <c r="C205" t="s">
        <v>4</v>
      </c>
      <c r="D205" t="b">
        <v>0</v>
      </c>
      <c r="E205" t="b">
        <v>1</v>
      </c>
      <c r="F205" t="s">
        <v>364</v>
      </c>
      <c r="G205" t="s">
        <v>365</v>
      </c>
      <c r="H205" s="1" t="str" cm="1">
        <f t="array" ref="H205">CRC16HASH(F205)</f>
        <v>F349</v>
      </c>
      <c r="I205" t="str">
        <f t="shared" si="7"/>
        <v>{#fig-F349}</v>
      </c>
      <c r="J205" t="str">
        <f t="shared" si="6"/>
        <v>![A blank Workflow canvas with only a start node](figures/wf/ss_canvas_001_clean.png){#fig-F349}</v>
      </c>
    </row>
    <row r="206" spans="1:10" x14ac:dyDescent="0.25">
      <c r="A206">
        <v>207</v>
      </c>
      <c r="B206" s="9" t="s">
        <v>353</v>
      </c>
      <c r="C206" t="s">
        <v>4</v>
      </c>
      <c r="D206" t="b">
        <v>1</v>
      </c>
      <c r="E206" t="b">
        <v>0</v>
      </c>
      <c r="F206" t="s">
        <v>366</v>
      </c>
      <c r="H206" s="1" t="str" cm="1">
        <f t="array" ref="H206">CRC16HASH(F206)</f>
        <v>DC0E</v>
      </c>
      <c r="I206" t="str">
        <f t="shared" si="7"/>
        <v>{#fig-DC0E}</v>
      </c>
      <c r="J206" t="str">
        <f t="shared" si="6"/>
        <v/>
      </c>
    </row>
    <row r="207" spans="1:10" x14ac:dyDescent="0.25">
      <c r="A207">
        <v>208</v>
      </c>
      <c r="B207" s="9" t="s">
        <v>353</v>
      </c>
      <c r="C207" t="s">
        <v>4</v>
      </c>
      <c r="D207" t="b">
        <v>0</v>
      </c>
      <c r="E207" t="b">
        <v>0</v>
      </c>
      <c r="F207" t="s">
        <v>358</v>
      </c>
      <c r="H207" s="1" t="str" cm="1">
        <f t="array" ref="H207">CRC16HASH(F207)</f>
        <v>58D7</v>
      </c>
      <c r="I207" t="str">
        <f t="shared" si="7"/>
        <v>{#fig-58D7}</v>
      </c>
      <c r="J207" t="str">
        <f t="shared" si="6"/>
        <v/>
      </c>
    </row>
    <row r="208" spans="1:10" x14ac:dyDescent="0.25">
      <c r="A208">
        <v>209</v>
      </c>
      <c r="B208" s="9" t="s">
        <v>353</v>
      </c>
      <c r="C208" t="s">
        <v>4</v>
      </c>
      <c r="D208" t="b">
        <v>1</v>
      </c>
      <c r="E208" t="b">
        <v>1</v>
      </c>
      <c r="F208" t="s">
        <v>359</v>
      </c>
      <c r="G208" t="s">
        <v>363</v>
      </c>
      <c r="H208" s="1" t="str" cm="1">
        <f t="array" ref="H208">CRC16HASH(F208)</f>
        <v>C624</v>
      </c>
      <c r="I208" t="str">
        <f t="shared" si="7"/>
        <v>{#fig-C624}</v>
      </c>
      <c r="J208" t="str">
        <f t="shared" si="6"/>
        <v>![Saving the Math Coder Workflow](figures/wf/ss_save_001_ann.png){#fig-C624}</v>
      </c>
    </row>
    <row r="209" spans="1:10" x14ac:dyDescent="0.25">
      <c r="A209">
        <v>210</v>
      </c>
      <c r="B209" s="9" t="s">
        <v>353</v>
      </c>
      <c r="C209" t="s">
        <v>4</v>
      </c>
      <c r="D209" t="b">
        <v>0</v>
      </c>
      <c r="E209" t="b">
        <v>0</v>
      </c>
      <c r="F209" t="s">
        <v>361</v>
      </c>
      <c r="H209" s="1" t="str" cm="1">
        <f t="array" ref="H209">CRC16HASH(F209)</f>
        <v>D879</v>
      </c>
      <c r="I209" t="str">
        <f t="shared" si="7"/>
        <v>{#fig-D879}</v>
      </c>
      <c r="J209" t="str">
        <f t="shared" si="6"/>
        <v/>
      </c>
    </row>
    <row r="210" spans="1:10" x14ac:dyDescent="0.25">
      <c r="A210">
        <v>211</v>
      </c>
      <c r="B210" s="9" t="s">
        <v>353</v>
      </c>
      <c r="C210" t="s">
        <v>4</v>
      </c>
      <c r="D210" t="b">
        <v>1</v>
      </c>
      <c r="E210" t="b">
        <v>1</v>
      </c>
      <c r="F210" t="s">
        <v>360</v>
      </c>
      <c r="G210" t="s">
        <v>362</v>
      </c>
      <c r="H210" s="1" t="str" cm="1">
        <f t="array" ref="H210">CRC16HASH(F210)</f>
        <v>B84E</v>
      </c>
      <c r="I210" t="str">
        <f t="shared" si="7"/>
        <v>{#fig-B84E}</v>
      </c>
      <c r="J210" t="str">
        <f t="shared" si="6"/>
        <v>![The + New node panel](figures/wf/ss_nodes_001_ann.png){#fig-B84E}</v>
      </c>
    </row>
    <row r="211" spans="1:10" x14ac:dyDescent="0.25">
      <c r="A211">
        <v>212</v>
      </c>
      <c r="B211" s="9" t="s">
        <v>353</v>
      </c>
      <c r="C211" t="s">
        <v>4</v>
      </c>
      <c r="D211" t="b">
        <v>0</v>
      </c>
      <c r="E211" t="b">
        <v>0</v>
      </c>
      <c r="F211" t="s">
        <v>368</v>
      </c>
      <c r="H211" s="1" t="str" cm="1">
        <f t="array" ref="H211">CRC16HASH(F211)</f>
        <v>B746</v>
      </c>
      <c r="I211" t="str">
        <f t="shared" si="7"/>
        <v>{#fig-B746}</v>
      </c>
      <c r="J211" t="str">
        <f t="shared" si="6"/>
        <v/>
      </c>
    </row>
    <row r="212" spans="1:10" x14ac:dyDescent="0.25">
      <c r="A212">
        <v>213</v>
      </c>
      <c r="B212" s="9" t="s">
        <v>353</v>
      </c>
      <c r="C212" t="s">
        <v>4</v>
      </c>
      <c r="D212" t="b">
        <v>1</v>
      </c>
      <c r="E212" t="b">
        <v>1</v>
      </c>
      <c r="F212" t="s">
        <v>369</v>
      </c>
      <c r="G212" t="s">
        <v>367</v>
      </c>
      <c r="H212" s="1" t="str" cm="1">
        <f t="array" ref="H212">CRC16HASH(F212)</f>
        <v>2C1A</v>
      </c>
      <c r="I212" t="str">
        <f t="shared" si="7"/>
        <v>{#fig-2C1A}</v>
      </c>
      <c r="J212" t="str">
        <f t="shared" si="6"/>
        <v>![Adding an Ask a question node](figures/wf/ss_canvas_002_ann.png){#fig-2C1A}</v>
      </c>
    </row>
    <row r="213" spans="1:10" x14ac:dyDescent="0.25">
      <c r="A213">
        <v>214</v>
      </c>
      <c r="B213" s="9" t="s">
        <v>353</v>
      </c>
      <c r="C213" t="s">
        <v>4</v>
      </c>
      <c r="D213" t="b">
        <v>0</v>
      </c>
      <c r="E213" t="b">
        <v>0</v>
      </c>
      <c r="F213" t="s">
        <v>370</v>
      </c>
      <c r="H213" s="1" t="str" cm="1">
        <f t="array" ref="H213">CRC16HASH(F213)</f>
        <v>4B42</v>
      </c>
      <c r="I213" t="str">
        <f t="shared" si="7"/>
        <v>{#fig-4B42}</v>
      </c>
      <c r="J213" t="str">
        <f t="shared" si="6"/>
        <v/>
      </c>
    </row>
    <row r="214" spans="1:10" x14ac:dyDescent="0.25">
      <c r="A214">
        <v>215</v>
      </c>
      <c r="B214" s="9" t="s">
        <v>353</v>
      </c>
      <c r="C214" t="s">
        <v>4</v>
      </c>
      <c r="D214" t="b">
        <v>1</v>
      </c>
      <c r="E214" t="b">
        <v>1</v>
      </c>
      <c r="F214" t="s">
        <v>371</v>
      </c>
      <c r="G214" t="s">
        <v>372</v>
      </c>
      <c r="H214" s="1" t="str" cm="1">
        <f t="array" ref="H214">CRC16HASH(F214)</f>
        <v>BC17</v>
      </c>
      <c r="I214" t="str">
        <f t="shared" si="7"/>
        <v>{#fig-BC17}</v>
      </c>
      <c r="J214" t="str">
        <f t="shared" si="6"/>
        <v>![Configuring the Ask a question node to ask for a math problem](figures/wf/ss_canvas_003_ann.png){#fig-BC17}</v>
      </c>
    </row>
    <row r="215" spans="1:10" x14ac:dyDescent="0.25">
      <c r="A215">
        <v>216</v>
      </c>
      <c r="B215" s="9" t="s">
        <v>353</v>
      </c>
      <c r="C215" t="s">
        <v>4</v>
      </c>
      <c r="D215" t="b">
        <v>0</v>
      </c>
      <c r="E215" t="b">
        <v>0</v>
      </c>
      <c r="F215" t="s">
        <v>373</v>
      </c>
      <c r="H215" s="1" t="str" cm="1">
        <f t="array" ref="H215">CRC16HASH(F215)</f>
        <v>3F58</v>
      </c>
      <c r="I215" t="str">
        <f t="shared" si="7"/>
        <v>{#fig-3F58}</v>
      </c>
      <c r="J215" t="str">
        <f t="shared" si="6"/>
        <v/>
      </c>
    </row>
    <row r="216" spans="1:10" x14ac:dyDescent="0.25">
      <c r="A216">
        <v>217</v>
      </c>
      <c r="B216" s="9" t="s">
        <v>353</v>
      </c>
      <c r="C216" t="s">
        <v>4</v>
      </c>
      <c r="D216" t="b">
        <v>1</v>
      </c>
      <c r="E216" t="b">
        <v>1</v>
      </c>
      <c r="F216" t="s">
        <v>374</v>
      </c>
      <c r="G216" t="s">
        <v>375</v>
      </c>
      <c r="H216" s="1" t="str" cm="1">
        <f t="array" ref="H216">CRC16HASH(F216)</f>
        <v>8C31</v>
      </c>
      <c r="I216" t="str">
        <f t="shared" ref="I216:I217" si="8">_xlfn.CONCAT("{#fig-",H216,"}")</f>
        <v>{#fig-8C31}</v>
      </c>
      <c r="J216" t="str">
        <f t="shared" si="6"/>
        <v>![Configuring the Latest Message variable](figures/wf/ss_canvas_004_ann.png){#fig-8C31}</v>
      </c>
    </row>
    <row r="217" spans="1:10" x14ac:dyDescent="0.25">
      <c r="A217">
        <v>218</v>
      </c>
      <c r="B217" s="9" t="s">
        <v>353</v>
      </c>
      <c r="C217" t="s">
        <v>4</v>
      </c>
      <c r="D217" t="b">
        <v>0</v>
      </c>
      <c r="E217" t="b">
        <v>0</v>
      </c>
      <c r="F217" t="s">
        <v>376</v>
      </c>
      <c r="H217" s="1" t="str" cm="1">
        <f t="array" ref="H217">CRC16HASH(F217)</f>
        <v>C35C</v>
      </c>
      <c r="I217" t="str">
        <f t="shared" si="8"/>
        <v>{#fig-C35C}</v>
      </c>
      <c r="J217" t="str">
        <f t="shared" si="6"/>
        <v/>
      </c>
    </row>
    <row r="218" spans="1:10" x14ac:dyDescent="0.25">
      <c r="A218">
        <v>219</v>
      </c>
      <c r="B218" s="9" t="s">
        <v>353</v>
      </c>
      <c r="C218" t="s">
        <v>4</v>
      </c>
      <c r="D218" t="b">
        <v>1</v>
      </c>
      <c r="E218" t="b">
        <v>1</v>
      </c>
      <c r="F218" t="s">
        <v>377</v>
      </c>
      <c r="G218" t="s">
        <v>378</v>
      </c>
      <c r="H218" s="1" t="str" cm="1">
        <f t="array" ref="H218">CRC16HASH(F218)</f>
        <v>1C3C</v>
      </c>
      <c r="I218" t="str">
        <f t="shared" ref="I218:I224" si="9">_xlfn.CONCAT("{#fig-",H218,"}")</f>
        <v>{#fig-1C3C}</v>
      </c>
      <c r="J218" t="str">
        <f t="shared" si="6"/>
        <v>![Configuring the Turn Count variable](figures/wf/ss_canvas_005_ann.png){#fig-1C3C}</v>
      </c>
    </row>
    <row r="219" spans="1:10" x14ac:dyDescent="0.25">
      <c r="A219">
        <v>220</v>
      </c>
      <c r="B219" s="9" t="s">
        <v>353</v>
      </c>
      <c r="C219" t="s">
        <v>4</v>
      </c>
      <c r="D219" t="b">
        <v>0</v>
      </c>
      <c r="E219" t="b">
        <v>0</v>
      </c>
      <c r="F219" t="s">
        <v>380</v>
      </c>
      <c r="H219" s="1" t="str" cm="1">
        <f t="array" ref="H219">CRC16HASH(F219)</f>
        <v>8753</v>
      </c>
      <c r="I219" t="str">
        <f t="shared" si="9"/>
        <v>{#fig-8753}</v>
      </c>
      <c r="J219" t="str">
        <f t="shared" si="6"/>
        <v/>
      </c>
    </row>
    <row r="220" spans="1:10" x14ac:dyDescent="0.25">
      <c r="A220">
        <v>221</v>
      </c>
      <c r="B220" s="9" t="s">
        <v>353</v>
      </c>
      <c r="C220" t="s">
        <v>4</v>
      </c>
      <c r="D220" t="b">
        <v>1</v>
      </c>
      <c r="E220" t="b">
        <v>1</v>
      </c>
      <c r="F220" t="s">
        <v>381</v>
      </c>
      <c r="G220" t="s">
        <v>379</v>
      </c>
      <c r="H220" s="1" t="str" cm="1">
        <f t="array" ref="H220">CRC16HASH(F220)</f>
        <v>EC28</v>
      </c>
      <c r="I220" t="str">
        <f t="shared" si="9"/>
        <v>{#fig-EC28}</v>
      </c>
      <c r="J220" t="str">
        <f t="shared" si="6"/>
        <v>![Configuring the Math Evaluator Agent node](figures/wf/ss_canvas_006_ann.png){#fig-EC28}</v>
      </c>
    </row>
    <row r="221" spans="1:10" x14ac:dyDescent="0.25">
      <c r="A221">
        <v>222</v>
      </c>
      <c r="B221" s="9" t="s">
        <v>353</v>
      </c>
      <c r="C221" t="s">
        <v>4</v>
      </c>
      <c r="D221" t="b">
        <v>0</v>
      </c>
      <c r="E221" t="b">
        <v>0</v>
      </c>
      <c r="F221" t="s">
        <v>382</v>
      </c>
      <c r="H221" s="1" t="str" cm="1">
        <f t="array" ref="H221">CRC16HASH(F221)</f>
        <v>7B57</v>
      </c>
      <c r="I221" t="str">
        <f t="shared" si="9"/>
        <v>{#fig-7B57}</v>
      </c>
      <c r="J221" t="str">
        <f t="shared" si="6"/>
        <v/>
      </c>
    </row>
    <row r="222" spans="1:10" x14ac:dyDescent="0.25">
      <c r="A222">
        <v>223</v>
      </c>
      <c r="B222" s="9" t="s">
        <v>353</v>
      </c>
      <c r="C222" t="s">
        <v>4</v>
      </c>
      <c r="D222" t="b">
        <v>1</v>
      </c>
      <c r="E222" t="b">
        <v>1</v>
      </c>
      <c r="F222" t="s">
        <v>383</v>
      </c>
      <c r="G222" t="s">
        <v>384</v>
      </c>
      <c r="H222" s="1" t="str" cm="1">
        <f t="array" ref="H222">CRC16HASH(F222)</f>
        <v>7C25</v>
      </c>
      <c r="I222" t="str">
        <f t="shared" si="9"/>
        <v>{#fig-7C25}</v>
      </c>
      <c r="J222" t="str">
        <f t="shared" si="6"/>
        <v>![Configuring the Math Evaluator Agent's behavior](figures/wf/ss_canvas_007_ann.png){#fig-7C25}</v>
      </c>
    </row>
    <row r="223" spans="1:10" x14ac:dyDescent="0.25">
      <c r="A223">
        <v>224</v>
      </c>
      <c r="B223" s="9" t="s">
        <v>353</v>
      </c>
      <c r="C223" t="s">
        <v>4</v>
      </c>
      <c r="D223" t="b">
        <v>0</v>
      </c>
      <c r="E223" t="b">
        <v>0</v>
      </c>
      <c r="F223" t="s">
        <v>386</v>
      </c>
      <c r="H223" s="1" t="str" cm="1">
        <f t="array" ref="H223">CRC16HASH(F223)</f>
        <v>6F67</v>
      </c>
      <c r="I223" t="str">
        <f t="shared" si="9"/>
        <v>{#fig-6F67}</v>
      </c>
      <c r="J223" t="str">
        <f t="shared" si="6"/>
        <v/>
      </c>
    </row>
    <row r="224" spans="1:10" x14ac:dyDescent="0.25">
      <c r="A224">
        <v>225</v>
      </c>
      <c r="B224" s="9" t="s">
        <v>353</v>
      </c>
      <c r="C224" t="s">
        <v>4</v>
      </c>
      <c r="D224" t="b">
        <v>1</v>
      </c>
      <c r="E224" t="b">
        <v>1</v>
      </c>
      <c r="F224" t="s">
        <v>387</v>
      </c>
      <c r="G224" t="s">
        <v>385</v>
      </c>
      <c r="H224" s="1" t="str" cm="1">
        <f t="array" ref="H224">CRC16HASH(F224)</f>
        <v>8C64</v>
      </c>
      <c r="I224" t="str">
        <f t="shared" si="9"/>
        <v>{#fig-8C64}</v>
      </c>
      <c r="J224" t="str">
        <f t="shared" si="6"/>
        <v>![Configuring the If/else logic to handle evaluation failures](figures/wf/ss_canvas_008_ann.png){#fig-8C64}</v>
      </c>
    </row>
    <row r="225" spans="1:10" x14ac:dyDescent="0.25">
      <c r="A225">
        <v>226</v>
      </c>
      <c r="B225" s="9" t="s">
        <v>353</v>
      </c>
      <c r="C225" t="s">
        <v>4</v>
      </c>
      <c r="D225" t="b">
        <v>0</v>
      </c>
      <c r="E225" t="b">
        <v>0</v>
      </c>
      <c r="F225" t="s">
        <v>389</v>
      </c>
      <c r="H225" s="1" t="str" cm="1">
        <f t="array" ref="H225">CRC16HASH(F225)</f>
        <v>9363</v>
      </c>
      <c r="I225" t="str">
        <f t="shared" ref="I225:I232" si="10">_xlfn.CONCAT("{#fig-",H225,"}")</f>
        <v>{#fig-9363}</v>
      </c>
      <c r="J225" t="str">
        <f t="shared" ref="J225:J232" si="11">IF(E225,_xlfn.CONCAT("![",G225,"](figures/",B225,"/",F225,")",I225),"")</f>
        <v/>
      </c>
    </row>
    <row r="226" spans="1:10" x14ac:dyDescent="0.25">
      <c r="A226">
        <v>227</v>
      </c>
      <c r="B226" s="9" t="s">
        <v>353</v>
      </c>
      <c r="C226" t="s">
        <v>4</v>
      </c>
      <c r="D226" t="b">
        <v>1</v>
      </c>
      <c r="E226" t="b">
        <v>1</v>
      </c>
      <c r="F226" t="s">
        <v>390</v>
      </c>
      <c r="G226" t="s">
        <v>388</v>
      </c>
      <c r="H226" s="1" t="str" cm="1">
        <f t="array" ref="H226">CRC16HASH(F226)</f>
        <v>1C69</v>
      </c>
      <c r="I226" t="str">
        <f t="shared" si="10"/>
        <v>{#fig-1C69}</v>
      </c>
      <c r="J226" t="str">
        <f t="shared" si="11"/>
        <v>![Configuring the message to the user if evaluation failed](figures/wf/ss_canvas_009_ann.png){#fig-1C69}</v>
      </c>
    </row>
    <row r="227" spans="1:10" x14ac:dyDescent="0.25">
      <c r="A227">
        <v>228</v>
      </c>
      <c r="B227" s="9" t="s">
        <v>353</v>
      </c>
      <c r="C227" t="s">
        <v>4</v>
      </c>
      <c r="D227" t="b">
        <v>0</v>
      </c>
      <c r="E227" t="b">
        <v>0</v>
      </c>
      <c r="F227" t="s">
        <v>392</v>
      </c>
      <c r="H227" s="1" t="str" cm="1">
        <f t="array" ref="H227">CRC16HASH(F227)</f>
        <v>CCB0</v>
      </c>
      <c r="I227" t="str">
        <f t="shared" si="10"/>
        <v>{#fig-CCB0}</v>
      </c>
      <c r="J227" t="str">
        <f t="shared" si="11"/>
        <v/>
      </c>
    </row>
    <row r="228" spans="1:10" x14ac:dyDescent="0.25">
      <c r="A228">
        <v>229</v>
      </c>
      <c r="B228" s="9" t="s">
        <v>353</v>
      </c>
      <c r="C228" t="s">
        <v>4</v>
      </c>
      <c r="D228" t="b">
        <v>1</v>
      </c>
      <c r="E228" t="b">
        <v>1</v>
      </c>
      <c r="F228" t="s">
        <v>393</v>
      </c>
      <c r="G228" t="s">
        <v>391</v>
      </c>
      <c r="H228" s="1" t="str" cm="1">
        <f t="array" ref="H228">CRC16HASH(F228)</f>
        <v>8952</v>
      </c>
      <c r="I228" t="str">
        <f t="shared" si="10"/>
        <v>{#fig-8952}</v>
      </c>
      <c r="J228" t="str">
        <f t="shared" si="11"/>
        <v>![Configuring the message to the user if evaluation succeeded](figures/wf/ss_canvas_010_ann.png){#fig-8952}</v>
      </c>
    </row>
    <row r="229" spans="1:10" x14ac:dyDescent="0.25">
      <c r="A229">
        <v>230</v>
      </c>
      <c r="B229" s="9" t="s">
        <v>353</v>
      </c>
      <c r="C229" t="s">
        <v>4</v>
      </c>
      <c r="D229" t="b">
        <v>0</v>
      </c>
      <c r="E229" t="b">
        <v>1</v>
      </c>
      <c r="F229" t="s">
        <v>395</v>
      </c>
      <c r="G229" t="s">
        <v>396</v>
      </c>
      <c r="H229" s="1" t="str" cm="1">
        <f t="array" ref="H229">CRC16HASH(F229)</f>
        <v>30B4</v>
      </c>
      <c r="I229" t="str">
        <f t="shared" si="10"/>
        <v>{#fig-30B4}</v>
      </c>
      <c r="J229" t="str">
        <f t="shared" si="11"/>
        <v>![The first half of the Math Coder Workflow](figures/wf/ss_canvas_011_clean.png){#fig-30B4}</v>
      </c>
    </row>
    <row r="230" spans="1:10" x14ac:dyDescent="0.25">
      <c r="A230">
        <v>231</v>
      </c>
      <c r="B230" s="9" t="s">
        <v>353</v>
      </c>
      <c r="C230" t="s">
        <v>4</v>
      </c>
      <c r="D230" t="b">
        <v>1</v>
      </c>
      <c r="E230" t="b">
        <v>0</v>
      </c>
      <c r="F230" t="s">
        <v>394</v>
      </c>
      <c r="H230" s="1" t="str" cm="1">
        <f t="array" ref="H230">CRC16HASH(F230)</f>
        <v>195F</v>
      </c>
      <c r="I230" t="str">
        <f t="shared" si="10"/>
        <v>{#fig-195F}</v>
      </c>
      <c r="J230" t="str">
        <f t="shared" si="11"/>
        <v/>
      </c>
    </row>
    <row r="231" spans="1:10" x14ac:dyDescent="0.25">
      <c r="A231">
        <v>232</v>
      </c>
      <c r="B231" s="9" t="s">
        <v>353</v>
      </c>
      <c r="C231" t="s">
        <v>4</v>
      </c>
      <c r="D231" t="b">
        <v>0</v>
      </c>
      <c r="E231" t="b">
        <v>0</v>
      </c>
      <c r="F231" t="s">
        <v>397</v>
      </c>
      <c r="H231" s="1" t="str" cm="1">
        <f t="array" ref="H231">CRC16HASH(F231)</f>
        <v>74BB</v>
      </c>
      <c r="I231" t="str">
        <f t="shared" si="10"/>
        <v>{#fig-74BB}</v>
      </c>
      <c r="J231" t="str">
        <f t="shared" si="11"/>
        <v/>
      </c>
    </row>
    <row r="232" spans="1:10" x14ac:dyDescent="0.25">
      <c r="A232">
        <v>233</v>
      </c>
      <c r="B232" s="9" t="s">
        <v>353</v>
      </c>
      <c r="C232" t="s">
        <v>4</v>
      </c>
      <c r="D232" t="b">
        <v>1</v>
      </c>
      <c r="E232" t="b">
        <v>1</v>
      </c>
      <c r="F232" t="s">
        <v>398</v>
      </c>
      <c r="G232" t="s">
        <v>399</v>
      </c>
      <c r="H232" s="1" t="str" cm="1">
        <f t="array" ref="H232">CRC16HASH(F232)</f>
        <v>E94B</v>
      </c>
      <c r="I232" t="str">
        <f t="shared" si="10"/>
        <v>{#fig-E94B}</v>
      </c>
      <c r="J232" t="str">
        <f t="shared" si="11"/>
        <v>![Seeing the YAML version of what you've built](figures/wf/ss_canvas_012_ann.png){#fig-E94B}</v>
      </c>
    </row>
    <row r="233" spans="1:10" x14ac:dyDescent="0.25">
      <c r="A233">
        <v>234</v>
      </c>
      <c r="B233" s="9" t="s">
        <v>353</v>
      </c>
      <c r="C233" t="s">
        <v>4</v>
      </c>
      <c r="D233" t="b">
        <v>0</v>
      </c>
      <c r="E233" t="b">
        <v>0</v>
      </c>
      <c r="F233" t="s">
        <v>401</v>
      </c>
      <c r="H233" s="1" t="str" cm="1">
        <f t="array" ref="H233">CRC16HASH(F233)</f>
        <v>88BF</v>
      </c>
      <c r="I233" t="str">
        <f t="shared" ref="I233:I241" si="12">_xlfn.CONCAT("{#fig-",H233,"}")</f>
        <v>{#fig-88BF}</v>
      </c>
      <c r="J233" t="str">
        <f t="shared" ref="J233:J241" si="13">IF(E233,_xlfn.CONCAT("![",G233,"](figures/",B233,"/",F233,")",I233),"")</f>
        <v/>
      </c>
    </row>
    <row r="234" spans="1:10" x14ac:dyDescent="0.25">
      <c r="A234">
        <v>235</v>
      </c>
      <c r="B234" s="9" t="s">
        <v>353</v>
      </c>
      <c r="C234" t="s">
        <v>4</v>
      </c>
      <c r="D234" t="b">
        <v>1</v>
      </c>
      <c r="E234" t="b">
        <v>1</v>
      </c>
      <c r="F234" t="s">
        <v>400</v>
      </c>
      <c r="G234" t="s">
        <v>402</v>
      </c>
      <c r="H234" s="1" t="str" cm="1">
        <f t="array" ref="H234">CRC16HASH(F234)</f>
        <v>7946</v>
      </c>
      <c r="I234" t="str">
        <f t="shared" si="12"/>
        <v>{#fig-7946}</v>
      </c>
      <c r="J234" t="str">
        <f t="shared" si="13"/>
        <v>![Seeing the visual version of the full YAML pipeline](figures/wf/ss_canvas_013_ann.png){#fig-7946}</v>
      </c>
    </row>
    <row r="235" spans="1:10" x14ac:dyDescent="0.25">
      <c r="A235">
        <v>236</v>
      </c>
      <c r="B235" s="9" t="s">
        <v>353</v>
      </c>
      <c r="C235" t="s">
        <v>4</v>
      </c>
      <c r="D235" t="b">
        <v>0</v>
      </c>
      <c r="E235" t="b">
        <v>0</v>
      </c>
      <c r="F235" t="s">
        <v>404</v>
      </c>
      <c r="H235" s="1" t="str" cm="1">
        <f t="array" ref="H235">CRC16HASH(F235)</f>
        <v>FCA5</v>
      </c>
      <c r="I235" t="str">
        <f t="shared" si="12"/>
        <v>{#fig-FCA5}</v>
      </c>
      <c r="J235" t="str">
        <f t="shared" si="13"/>
        <v/>
      </c>
    </row>
    <row r="236" spans="1:10" x14ac:dyDescent="0.25">
      <c r="A236">
        <v>237</v>
      </c>
      <c r="B236" s="9" t="s">
        <v>353</v>
      </c>
      <c r="C236" t="s">
        <v>4</v>
      </c>
      <c r="D236" t="b">
        <v>1</v>
      </c>
      <c r="E236" t="b">
        <v>1</v>
      </c>
      <c r="F236" t="s">
        <v>405</v>
      </c>
      <c r="G236" t="s">
        <v>403</v>
      </c>
      <c r="H236" s="1" t="str" cm="1">
        <f t="array" ref="H236">CRC16HASH(F236)</f>
        <v>4960</v>
      </c>
      <c r="I236" t="str">
        <f t="shared" si="12"/>
        <v>{#fig-4960}</v>
      </c>
      <c r="J236" t="str">
        <f t="shared" si="13"/>
        <v>![Configuring the Python Coder Agent's behavior](figures/wf/ss_canvas_014_ann.png){#fig-4960}</v>
      </c>
    </row>
    <row r="237" spans="1:10" x14ac:dyDescent="0.25">
      <c r="A237">
        <v>238</v>
      </c>
      <c r="B237" s="9" t="s">
        <v>353</v>
      </c>
      <c r="C237" t="s">
        <v>4</v>
      </c>
      <c r="D237" t="b">
        <v>0</v>
      </c>
      <c r="E237" t="b">
        <v>1</v>
      </c>
      <c r="F237" t="s">
        <v>406</v>
      </c>
      <c r="G237" t="s">
        <v>407</v>
      </c>
      <c r="H237" s="1" t="str" cm="1">
        <f t="array" ref="H237">CRC16HASH(F237)</f>
        <v>A1</v>
      </c>
      <c r="I237" t="str">
        <f t="shared" si="12"/>
        <v>{#fig-A1}</v>
      </c>
      <c r="J237" t="str">
        <f t="shared" si="13"/>
        <v>![The response node contained the problem's solution](figures/wf/ss_canvas_015_clean.png){#fig-A1}</v>
      </c>
    </row>
    <row r="238" spans="1:10" x14ac:dyDescent="0.25">
      <c r="A238">
        <v>239</v>
      </c>
      <c r="B238" s="9" t="s">
        <v>353</v>
      </c>
      <c r="C238" t="s">
        <v>4</v>
      </c>
      <c r="D238" t="b">
        <v>0</v>
      </c>
      <c r="E238" t="b">
        <v>1</v>
      </c>
      <c r="F238" t="s">
        <v>408</v>
      </c>
      <c r="G238" t="s">
        <v>409</v>
      </c>
      <c r="H238" s="1" t="str" cm="1">
        <f t="array" ref="H238">CRC16HASH(F238)</f>
        <v>8A6D</v>
      </c>
      <c r="I238" t="str">
        <f t="shared" si="12"/>
        <v>{#fig-8A6D}</v>
      </c>
      <c r="J238" t="str">
        <f t="shared" si="13"/>
        <v>![An example math problem input](figures/wf/ss_mathproblem_001_clean.png){#fig-8A6D}</v>
      </c>
    </row>
    <row r="239" spans="1:10" x14ac:dyDescent="0.25">
      <c r="A239">
        <v>240</v>
      </c>
      <c r="B239" s="9" t="s">
        <v>353</v>
      </c>
      <c r="C239" t="s">
        <v>4</v>
      </c>
      <c r="D239" t="b">
        <v>0</v>
      </c>
      <c r="E239" t="b">
        <v>1</v>
      </c>
      <c r="F239" t="s">
        <v>410</v>
      </c>
      <c r="G239" t="s">
        <v>412</v>
      </c>
      <c r="H239" s="1" t="str" cm="1">
        <f t="array" ref="H239">CRC16HASH(F239)</f>
        <v>CE62</v>
      </c>
      <c r="I239" t="str">
        <f t="shared" si="12"/>
        <v>{#fig-CE62}</v>
      </c>
      <c r="J239" t="str">
        <f t="shared" si="13"/>
        <v>![The evaluation of the math problem](figures/wf/ss_mathproblem_002_clean.png){#fig-CE62}</v>
      </c>
    </row>
    <row r="240" spans="1:10" x14ac:dyDescent="0.25">
      <c r="A240">
        <v>241</v>
      </c>
      <c r="B240" s="9" t="s">
        <v>353</v>
      </c>
      <c r="C240" t="s">
        <v>4</v>
      </c>
      <c r="D240" t="b">
        <v>0</v>
      </c>
      <c r="E240" t="b">
        <v>1</v>
      </c>
      <c r="F240" t="s">
        <v>411</v>
      </c>
      <c r="G240" t="s">
        <v>413</v>
      </c>
      <c r="H240" s="1" t="str" cm="1">
        <f t="array" ref="H240">CRC16HASH(F240)</f>
        <v>3266</v>
      </c>
      <c r="I240" t="str">
        <f t="shared" si="12"/>
        <v>{#fig-3266}</v>
      </c>
      <c r="J240" t="str">
        <f t="shared" si="13"/>
        <v>![The results and outputs of the math workflow](figures/wf/ss_mathproblem_003_clean.png){#fig-3266}</v>
      </c>
    </row>
    <row r="241" spans="1:10" x14ac:dyDescent="0.25">
      <c r="A241">
        <v>242</v>
      </c>
      <c r="B241" s="9" t="s">
        <v>353</v>
      </c>
      <c r="C241" t="s">
        <v>4</v>
      </c>
      <c r="D241" t="b">
        <v>0</v>
      </c>
      <c r="E241" t="b">
        <v>1</v>
      </c>
      <c r="F241" t="s">
        <v>414</v>
      </c>
      <c r="G241" t="s">
        <v>415</v>
      </c>
      <c r="H241" s="1" t="str" cm="1">
        <f t="array" ref="H241">CRC16HASH(F241)</f>
        <v>BBDE</v>
      </c>
      <c r="I241" t="str">
        <f t="shared" si="12"/>
        <v>{#fig-BBDE}</v>
      </c>
      <c r="J241" t="str">
        <f t="shared" si="13"/>
        <v>![Viewing the invocation logs for your chat session](figures/wf/ss_logs_001_clean.png){#fig-BBDE}</v>
      </c>
    </row>
    <row r="242" spans="1:10" x14ac:dyDescent="0.25">
      <c r="A242">
        <v>243</v>
      </c>
      <c r="B242" s="10" t="s">
        <v>416</v>
      </c>
      <c r="C242" t="s">
        <v>4</v>
      </c>
      <c r="D242" t="b">
        <v>0</v>
      </c>
      <c r="E242" t="b">
        <v>0</v>
      </c>
      <c r="F242" t="s">
        <v>417</v>
      </c>
      <c r="H242" s="1" t="str" cm="1">
        <f t="array" ref="H242">CRC16HASH(F242)</f>
        <v>C05C</v>
      </c>
      <c r="I242" t="str">
        <f t="shared" ref="I242:I243" si="14">_xlfn.CONCAT("{#fig-",H242,"}")</f>
        <v>{#fig-C05C}</v>
      </c>
      <c r="J242" t="str">
        <f t="shared" ref="J242:J243" si="15">IF(E242,_xlfn.CONCAT("![",G242,"](figures/",B242,"/",F242,")",I242),"")</f>
        <v/>
      </c>
    </row>
    <row r="243" spans="1:10" x14ac:dyDescent="0.25">
      <c r="A243">
        <v>244</v>
      </c>
      <c r="B243" s="10" t="s">
        <v>416</v>
      </c>
      <c r="C243" t="s">
        <v>4</v>
      </c>
      <c r="D243" t="b">
        <v>1</v>
      </c>
      <c r="E243" t="b">
        <v>1</v>
      </c>
      <c r="F243" t="s">
        <v>419</v>
      </c>
      <c r="G243" t="s">
        <v>418</v>
      </c>
      <c r="H243" s="1" t="str" cm="1">
        <f t="array" ref="H243">CRC16HASH(F243)</f>
        <v>D83D</v>
      </c>
      <c r="I243" t="str">
        <f t="shared" si="14"/>
        <v>{#fig-D83D}</v>
      </c>
      <c r="J243" t="str">
        <f t="shared" si="15"/>
        <v>![Locating Guardrails from the Foundry UI](figures/am/ss_guardrails_001_ann.png){#fig-D83D}</v>
      </c>
    </row>
    <row r="244" spans="1:10" x14ac:dyDescent="0.25">
      <c r="A244">
        <v>245</v>
      </c>
      <c r="B244" s="10" t="s">
        <v>416</v>
      </c>
      <c r="C244" t="s">
        <v>4</v>
      </c>
      <c r="D244" t="b">
        <v>0</v>
      </c>
      <c r="E244" t="b">
        <v>0</v>
      </c>
      <c r="F244" t="s">
        <v>421</v>
      </c>
      <c r="H244" s="1" t="str" cm="1">
        <f t="array" ref="H244">CRC16HASH(F244)</f>
        <v>8453</v>
      </c>
      <c r="I244" t="str">
        <f t="shared" ref="I244:I252" si="16">_xlfn.CONCAT("{#fig-",H244,"}")</f>
        <v>{#fig-8453}</v>
      </c>
      <c r="J244" t="str">
        <f t="shared" ref="J244:J252" si="17">IF(E244,_xlfn.CONCAT("![",G244,"](figures/",B244,"/",F244,")",I244),"")</f>
        <v/>
      </c>
    </row>
    <row r="245" spans="1:10" x14ac:dyDescent="0.25">
      <c r="A245">
        <v>246</v>
      </c>
      <c r="B245" s="10" t="s">
        <v>416</v>
      </c>
      <c r="C245" t="s">
        <v>4</v>
      </c>
      <c r="D245" t="b">
        <v>1</v>
      </c>
      <c r="E245" t="b">
        <v>1</v>
      </c>
      <c r="F245" t="s">
        <v>422</v>
      </c>
      <c r="G245" t="s">
        <v>420</v>
      </c>
      <c r="H245" s="1" t="str" cm="1">
        <f t="array" ref="H245">CRC16HASH(F245)</f>
        <v>2829</v>
      </c>
      <c r="I245" t="str">
        <f t="shared" si="16"/>
        <v>{#fig-2829}</v>
      </c>
      <c r="J245" t="str">
        <f t="shared" si="17"/>
        <v>![Selecting Risks in a new Guardrail](figures/am/ss_guardrails_002_ann.png){#fig-2829}</v>
      </c>
    </row>
    <row r="246" spans="1:10" x14ac:dyDescent="0.25">
      <c r="A246">
        <v>247</v>
      </c>
      <c r="B246" s="10" t="s">
        <v>416</v>
      </c>
      <c r="C246" t="s">
        <v>4</v>
      </c>
      <c r="D246" t="b">
        <v>0</v>
      </c>
      <c r="E246" t="b">
        <v>0</v>
      </c>
      <c r="F246" t="s">
        <v>424</v>
      </c>
      <c r="H246" s="1" t="str" cm="1">
        <f t="array" ref="H246">CRC16HASH(F246)</f>
        <v>7857</v>
      </c>
      <c r="I246" t="str">
        <f t="shared" si="16"/>
        <v>{#fig-7857}</v>
      </c>
      <c r="J246" t="str">
        <f t="shared" si="17"/>
        <v/>
      </c>
    </row>
    <row r="247" spans="1:10" x14ac:dyDescent="0.25">
      <c r="A247">
        <v>248</v>
      </c>
      <c r="B247" s="10" t="s">
        <v>416</v>
      </c>
      <c r="C247" t="s">
        <v>4</v>
      </c>
      <c r="D247" t="b">
        <v>1</v>
      </c>
      <c r="E247" t="b">
        <v>1</v>
      </c>
      <c r="F247" t="s">
        <v>425</v>
      </c>
      <c r="G247" t="s">
        <v>423</v>
      </c>
      <c r="H247" s="1" t="str" cm="1">
        <f t="array" ref="H247">CRC16HASH(F247)</f>
        <v>B824</v>
      </c>
      <c r="I247" t="str">
        <f t="shared" si="16"/>
        <v>{#fig-B824}</v>
      </c>
      <c r="J247" t="str">
        <f t="shared" si="17"/>
        <v>![Selecting the intervention points and actions for the Risk](figures/am/ss_guardrails_003_ann.png){#fig-B824}</v>
      </c>
    </row>
    <row r="248" spans="1:10" x14ac:dyDescent="0.25">
      <c r="A248">
        <v>249</v>
      </c>
      <c r="B248" s="10" t="s">
        <v>416</v>
      </c>
      <c r="C248" t="s">
        <v>6</v>
      </c>
      <c r="D248" t="b">
        <v>0</v>
      </c>
      <c r="E248" t="b">
        <v>1</v>
      </c>
      <c r="F248" t="s">
        <v>471</v>
      </c>
      <c r="G248" t="s">
        <v>472</v>
      </c>
      <c r="H248" s="1" t="str" cm="1">
        <f t="array" ref="H248">CRC16HASH(F248)</f>
        <v>515E</v>
      </c>
      <c r="I248" t="str">
        <f t="shared" si="16"/>
        <v>{#fig-515E}</v>
      </c>
      <c r="J248" t="str">
        <f t="shared" si="17"/>
        <v>![Control intervention points in an Agent response flow](figures/am/il_controls_001_clean.png){#fig-515E}</v>
      </c>
    </row>
    <row r="249" spans="1:10" x14ac:dyDescent="0.25">
      <c r="A249">
        <v>250</v>
      </c>
      <c r="B249" s="10" t="s">
        <v>416</v>
      </c>
      <c r="C249" t="s">
        <v>4</v>
      </c>
      <c r="D249" t="b">
        <v>0</v>
      </c>
      <c r="E249" t="b">
        <v>0</v>
      </c>
      <c r="F249" t="s">
        <v>426</v>
      </c>
      <c r="H249" s="1" t="str" cm="1">
        <f t="array" ref="H249">CRC16HASH(F249)</f>
        <v>C4D</v>
      </c>
      <c r="I249" t="str">
        <f t="shared" si="16"/>
        <v>{#fig-C4D}</v>
      </c>
      <c r="J249" t="str">
        <f t="shared" si="17"/>
        <v/>
      </c>
    </row>
    <row r="250" spans="1:10" x14ac:dyDescent="0.25">
      <c r="A250">
        <v>251</v>
      </c>
      <c r="B250" s="10" t="s">
        <v>416</v>
      </c>
      <c r="C250" t="s">
        <v>4</v>
      </c>
      <c r="D250" t="b">
        <v>1</v>
      </c>
      <c r="E250" t="b">
        <v>1</v>
      </c>
      <c r="F250" t="s">
        <v>427</v>
      </c>
      <c r="G250" t="s">
        <v>430</v>
      </c>
      <c r="H250" s="1" t="str" cm="1">
        <f t="array" ref="H250">CRC16HASH(F250)</f>
        <v>8802</v>
      </c>
      <c r="I250" t="str">
        <f t="shared" si="16"/>
        <v>{#fig-8802}</v>
      </c>
      <c r="J250" t="str">
        <f t="shared" si="17"/>
        <v>![Reviewing the Controls added to the Guardrail](figures/am/ss_guardrails_004_ann.png){#fig-8802}</v>
      </c>
    </row>
    <row r="251" spans="1:10" x14ac:dyDescent="0.25">
      <c r="A251">
        <v>252</v>
      </c>
      <c r="B251" s="10" t="s">
        <v>416</v>
      </c>
      <c r="C251" t="s">
        <v>4</v>
      </c>
      <c r="D251" t="b">
        <v>0</v>
      </c>
      <c r="E251" t="b">
        <v>0</v>
      </c>
      <c r="F251" t="s">
        <v>428</v>
      </c>
      <c r="H251" s="1" t="str" cm="1">
        <f t="array" ref="H251">CRC16HASH(F251)</f>
        <v>F049</v>
      </c>
      <c r="I251" t="str">
        <f t="shared" si="16"/>
        <v>{#fig-F049}</v>
      </c>
      <c r="J251" t="str">
        <f t="shared" si="17"/>
        <v/>
      </c>
    </row>
    <row r="252" spans="1:10" x14ac:dyDescent="0.25">
      <c r="A252">
        <v>253</v>
      </c>
      <c r="B252" s="10" t="s">
        <v>416</v>
      </c>
      <c r="C252" t="s">
        <v>4</v>
      </c>
      <c r="D252" t="b">
        <v>1</v>
      </c>
      <c r="E252" t="b">
        <v>1</v>
      </c>
      <c r="F252" t="s">
        <v>429</v>
      </c>
      <c r="G252" t="s">
        <v>431</v>
      </c>
      <c r="H252" s="1" t="str" cm="1">
        <f t="array" ref="H252">CRC16HASH(F252)</f>
        <v>180F</v>
      </c>
      <c r="I252" t="str">
        <f t="shared" si="16"/>
        <v>{#fig-180F}</v>
      </c>
      <c r="J252" t="str">
        <f t="shared" si="17"/>
        <v>![Applying the Guardrail to Models and Agents](figures/am/ss_guardrails_005_ann.png){#fig-180F}</v>
      </c>
    </row>
    <row r="253" spans="1:10" x14ac:dyDescent="0.25">
      <c r="A253">
        <v>254</v>
      </c>
      <c r="B253" s="10" t="s">
        <v>416</v>
      </c>
      <c r="C253" t="s">
        <v>4</v>
      </c>
      <c r="D253" t="b">
        <v>0</v>
      </c>
      <c r="E253" t="b">
        <v>1</v>
      </c>
      <c r="F253" t="s">
        <v>432</v>
      </c>
      <c r="G253" t="s">
        <v>433</v>
      </c>
      <c r="H253" s="1" t="str" cm="1">
        <f t="array" ref="H253">CRC16HASH(F253)</f>
        <v>B446</v>
      </c>
      <c r="I253" t="str">
        <f t="shared" ref="I253:I261" si="18">_xlfn.CONCAT("{#fig-",H253,"}")</f>
        <v>{#fig-B446}</v>
      </c>
      <c r="J253" t="str">
        <f t="shared" ref="J253:J261" si="19">IF(E253,_xlfn.CONCAT("![",G253,"](figures/",B253,"/",F253,")",I253),"")</f>
        <v>![Reviewing the Guardrail selections before saving](figures/am/ss_guardrails_006_clean.png){#fig-B446}</v>
      </c>
    </row>
    <row r="254" spans="1:10" x14ac:dyDescent="0.25">
      <c r="A254">
        <v>255</v>
      </c>
      <c r="B254" s="10" t="s">
        <v>416</v>
      </c>
      <c r="C254" t="s">
        <v>4</v>
      </c>
      <c r="D254" t="b">
        <v>0</v>
      </c>
      <c r="E254" t="b">
        <v>0</v>
      </c>
      <c r="F254" t="s">
        <v>435</v>
      </c>
      <c r="H254" s="1" t="str" cm="1">
        <f t="array" ref="H254">CRC16HASH(F254)</f>
        <v>A120</v>
      </c>
      <c r="I254" t="str">
        <f t="shared" si="18"/>
        <v>{#fig-A120}</v>
      </c>
      <c r="J254" t="str">
        <f t="shared" si="19"/>
        <v/>
      </c>
    </row>
    <row r="255" spans="1:10" x14ac:dyDescent="0.25">
      <c r="A255">
        <v>256</v>
      </c>
      <c r="B255" s="10" t="s">
        <v>416</v>
      </c>
      <c r="C255" t="s">
        <v>4</v>
      </c>
      <c r="D255" t="b">
        <v>1</v>
      </c>
      <c r="E255" t="b">
        <v>1</v>
      </c>
      <c r="F255" t="s">
        <v>436</v>
      </c>
      <c r="G255" t="s">
        <v>434</v>
      </c>
      <c r="H255" s="1" t="str" cm="1">
        <f t="array" ref="H255">CRC16HASH(F255)</f>
        <v>9B6C</v>
      </c>
      <c r="I255" t="str">
        <f t="shared" si="18"/>
        <v>{#fig-9B6C}</v>
      </c>
      <c r="J255" t="str">
        <f t="shared" si="19"/>
        <v>![Locating Blocklists from the Foundry UI](figures/am/ss_blocklists_001_ann.png){#fig-9B6C}</v>
      </c>
    </row>
    <row r="256" spans="1:10" x14ac:dyDescent="0.25">
      <c r="A256">
        <v>257</v>
      </c>
      <c r="B256" s="10" t="s">
        <v>416</v>
      </c>
      <c r="C256" t="s">
        <v>4</v>
      </c>
      <c r="D256" t="b">
        <v>0</v>
      </c>
      <c r="E256" t="b">
        <v>0</v>
      </c>
      <c r="F256" t="s">
        <v>439</v>
      </c>
      <c r="H256" s="1" t="str" cm="1">
        <f t="array" ref="H256">CRC16HASH(F256)</f>
        <v>E52F</v>
      </c>
      <c r="I256" t="str">
        <f t="shared" si="18"/>
        <v>{#fig-E52F}</v>
      </c>
      <c r="J256" t="str">
        <f t="shared" si="19"/>
        <v/>
      </c>
    </row>
    <row r="257" spans="1:10" x14ac:dyDescent="0.25">
      <c r="A257">
        <v>258</v>
      </c>
      <c r="B257" s="10" t="s">
        <v>416</v>
      </c>
      <c r="C257" t="s">
        <v>4</v>
      </c>
      <c r="D257" t="b">
        <v>1</v>
      </c>
      <c r="E257" t="b">
        <v>1</v>
      </c>
      <c r="F257" t="s">
        <v>438</v>
      </c>
      <c r="G257" t="s">
        <v>437</v>
      </c>
      <c r="H257" s="1" t="str" cm="1">
        <f t="array" ref="H257">CRC16HASH(F257)</f>
        <v>6B78</v>
      </c>
      <c r="I257" t="str">
        <f t="shared" si="18"/>
        <v>{#fig-6B78}</v>
      </c>
      <c r="J257" t="str">
        <f t="shared" si="19"/>
        <v>![Making a new Blocklist of competitor AI products](figures/am/ss_blocklists_002_ann.png){#fig-6B78}</v>
      </c>
    </row>
    <row r="258" spans="1:10" x14ac:dyDescent="0.25">
      <c r="A258">
        <v>259</v>
      </c>
      <c r="B258" s="10" t="s">
        <v>416</v>
      </c>
      <c r="C258" t="s">
        <v>4</v>
      </c>
      <c r="D258" t="b">
        <v>0</v>
      </c>
      <c r="E258" t="b">
        <v>1</v>
      </c>
      <c r="F258" t="s">
        <v>441</v>
      </c>
      <c r="G258" t="s">
        <v>440</v>
      </c>
      <c r="H258" s="1" t="str" cm="1">
        <f t="array" ref="H258">CRC16HASH(F258)</f>
        <v>192B</v>
      </c>
      <c r="I258" t="str">
        <f t="shared" si="18"/>
        <v>{#fig-192B}</v>
      </c>
      <c r="J258" t="str">
        <f t="shared" si="19"/>
        <v>![Adding the Blocklist in a Guardrail](figures/am/ss_blocklists_003_clean.png){#fig-192B}</v>
      </c>
    </row>
    <row r="259" spans="1:10" x14ac:dyDescent="0.25">
      <c r="A259">
        <v>260</v>
      </c>
      <c r="B259" s="10" t="s">
        <v>416</v>
      </c>
      <c r="C259" t="s">
        <v>4</v>
      </c>
      <c r="D259" t="b">
        <v>0</v>
      </c>
      <c r="E259" t="b">
        <v>1</v>
      </c>
      <c r="F259" t="s">
        <v>442</v>
      </c>
      <c r="G259" t="s">
        <v>443</v>
      </c>
      <c r="H259" s="1" t="str" cm="1">
        <f t="array" ref="H259">CRC16HASH(F259)</f>
        <v>8807</v>
      </c>
      <c r="I259" t="str">
        <f t="shared" si="18"/>
        <v>{#fig-8807}</v>
      </c>
      <c r="J259" t="str">
        <f t="shared" si="19"/>
        <v>![Exploring the available third-party integrations](figures/am/ss_integrations_001_clean.png){#fig-8807}</v>
      </c>
    </row>
    <row r="260" spans="1:10" x14ac:dyDescent="0.25">
      <c r="A260">
        <v>261</v>
      </c>
      <c r="B260" s="10" t="s">
        <v>416</v>
      </c>
      <c r="C260" t="s">
        <v>4</v>
      </c>
      <c r="D260" t="b">
        <v>0</v>
      </c>
      <c r="E260" t="b">
        <v>0</v>
      </c>
      <c r="F260" t="s">
        <v>444</v>
      </c>
      <c r="H260" s="1" t="str" cm="1">
        <f t="array" ref="H260">CRC16HASH(F260)</f>
        <v>68D</v>
      </c>
      <c r="I260" t="str">
        <f t="shared" si="18"/>
        <v>{#fig-68D}</v>
      </c>
      <c r="J260" t="str">
        <f t="shared" si="19"/>
        <v/>
      </c>
    </row>
    <row r="261" spans="1:10" x14ac:dyDescent="0.25">
      <c r="A261">
        <v>262</v>
      </c>
      <c r="B261" s="10" t="s">
        <v>416</v>
      </c>
      <c r="C261" t="s">
        <v>4</v>
      </c>
      <c r="D261" t="b">
        <v>1</v>
      </c>
      <c r="E261" t="b">
        <v>1</v>
      </c>
      <c r="F261" t="s">
        <v>445</v>
      </c>
      <c r="G261" t="s">
        <v>449</v>
      </c>
      <c r="H261" s="1" t="str" cm="1">
        <f t="array" ref="H261">CRC16HASH(F261)</f>
        <v>5103</v>
      </c>
      <c r="I261" t="str">
        <f t="shared" si="18"/>
        <v>{#fig-5103}</v>
      </c>
      <c r="J261" t="str">
        <f t="shared" si="19"/>
        <v>![The Conrol Plane's Operate page of the Foundry UI](figures/am/ss_controlplane_001_ann.png){#fig-5103}</v>
      </c>
    </row>
    <row r="262" spans="1:10" x14ac:dyDescent="0.25">
      <c r="A262">
        <v>263</v>
      </c>
      <c r="B262" s="10" t="s">
        <v>416</v>
      </c>
      <c r="C262" t="s">
        <v>4</v>
      </c>
      <c r="D262" t="b">
        <v>0</v>
      </c>
      <c r="E262" t="b">
        <v>0</v>
      </c>
      <c r="F262" t="s">
        <v>446</v>
      </c>
      <c r="H262" s="1" t="str" cm="1">
        <f t="array" ref="H262">CRC16HASH(F262)</f>
        <v>4282</v>
      </c>
      <c r="I262" t="str">
        <f t="shared" ref="I262:I271" si="20">_xlfn.CONCAT("{#fig-",H262,"}")</f>
        <v>{#fig-4282}</v>
      </c>
      <c r="J262" t="str">
        <f t="shared" ref="J262:J272" si="21">IF(E262,_xlfn.CONCAT("![",G262,"](figures/",B262,"/",F262,")",I262),"")</f>
        <v/>
      </c>
    </row>
    <row r="263" spans="1:10" x14ac:dyDescent="0.25">
      <c r="A263">
        <v>264</v>
      </c>
      <c r="B263" s="10" t="s">
        <v>416</v>
      </c>
      <c r="C263" t="s">
        <v>4</v>
      </c>
      <c r="D263" t="b">
        <v>1</v>
      </c>
      <c r="E263" t="b">
        <v>1</v>
      </c>
      <c r="F263" t="s">
        <v>447</v>
      </c>
      <c r="G263" t="s">
        <v>448</v>
      </c>
      <c r="H263" s="1" t="str" cm="1">
        <f t="array" ref="H263">CRC16HASH(F263)</f>
        <v>A117</v>
      </c>
      <c r="I263" t="str">
        <f t="shared" si="20"/>
        <v>{#fig-A117}</v>
      </c>
      <c r="J263" t="str">
        <f t="shared" si="21"/>
        <v>![Viewing all your assets in the Control Plane](figures/am/ss_controlplane_002_ann.png){#fig-A117}</v>
      </c>
    </row>
    <row r="264" spans="1:10" x14ac:dyDescent="0.25">
      <c r="A264">
        <v>265</v>
      </c>
      <c r="B264" s="10" t="s">
        <v>416</v>
      </c>
      <c r="C264" t="s">
        <v>4</v>
      </c>
      <c r="D264" t="b">
        <v>0</v>
      </c>
      <c r="E264" t="b">
        <v>1</v>
      </c>
      <c r="F264" t="s">
        <v>446</v>
      </c>
      <c r="G264" t="s">
        <v>450</v>
      </c>
      <c r="H264" s="1" t="str" cm="1">
        <f t="array" ref="H264">CRC16HASH(F264)</f>
        <v>4282</v>
      </c>
      <c r="I264" t="str">
        <f t="shared" si="20"/>
        <v>{#fig-4282}</v>
      </c>
      <c r="J264" t="str">
        <f t="shared" si="21"/>
        <v>![Viewing the Monitor tab of an Agent](figures/am/ss_controlplane_002_clean.png){#fig-4282}</v>
      </c>
    </row>
    <row r="265" spans="1:10" x14ac:dyDescent="0.25">
      <c r="A265">
        <v>266</v>
      </c>
      <c r="B265" s="10" t="s">
        <v>416</v>
      </c>
      <c r="C265" t="s">
        <v>4</v>
      </c>
      <c r="D265" t="b">
        <v>0</v>
      </c>
      <c r="E265" t="b">
        <v>0</v>
      </c>
      <c r="F265" t="s">
        <v>452</v>
      </c>
      <c r="H265" s="1" t="str" cm="1">
        <f t="array" ref="H265">CRC16HASH(F265)</f>
        <v>ED37</v>
      </c>
      <c r="I265" t="str">
        <f t="shared" si="20"/>
        <v>{#fig-ED37}</v>
      </c>
      <c r="J265" t="str">
        <f t="shared" si="21"/>
        <v/>
      </c>
    </row>
    <row r="266" spans="1:10" x14ac:dyDescent="0.25">
      <c r="A266">
        <v>267</v>
      </c>
      <c r="B266" s="10" t="s">
        <v>416</v>
      </c>
      <c r="C266" t="s">
        <v>4</v>
      </c>
      <c r="D266" t="b">
        <v>1</v>
      </c>
      <c r="E266" t="b">
        <v>1</v>
      </c>
      <c r="F266" t="s">
        <v>453</v>
      </c>
      <c r="G266" t="s">
        <v>451</v>
      </c>
      <c r="H266" s="1" t="str" cm="1">
        <f t="array" ref="H266">CRC16HASH(F266)</f>
        <v>34A7</v>
      </c>
      <c r="I266" t="str">
        <f t="shared" si="20"/>
        <v>{#fig-34A7}</v>
      </c>
      <c r="J266" t="str">
        <f t="shared" si="21"/>
        <v>![Viewing the Quotas table in the Control Plane](figures/am/ss_quotas_001_ann.png){#fig-34A7}</v>
      </c>
    </row>
    <row r="267" spans="1:10" x14ac:dyDescent="0.25">
      <c r="A267">
        <v>268</v>
      </c>
      <c r="B267" s="10" t="s">
        <v>416</v>
      </c>
      <c r="C267" t="s">
        <v>4</v>
      </c>
      <c r="D267" t="b">
        <v>0</v>
      </c>
      <c r="E267" t="b">
        <v>0</v>
      </c>
      <c r="F267" t="s">
        <v>456</v>
      </c>
      <c r="H267" s="1" t="str" cm="1">
        <f t="array" ref="H267">CRC16HASH(F267)</f>
        <v>A938</v>
      </c>
      <c r="I267" t="str">
        <f t="shared" si="20"/>
        <v>{#fig-A938}</v>
      </c>
      <c r="J267" t="str">
        <f t="shared" si="21"/>
        <v/>
      </c>
    </row>
    <row r="268" spans="1:10" x14ac:dyDescent="0.25">
      <c r="A268">
        <v>269</v>
      </c>
      <c r="B268" s="10" t="s">
        <v>416</v>
      </c>
      <c r="C268" t="s">
        <v>4</v>
      </c>
      <c r="D268" t="b">
        <v>1</v>
      </c>
      <c r="E268" t="b">
        <v>1</v>
      </c>
      <c r="F268" t="s">
        <v>457</v>
      </c>
      <c r="G268" t="s">
        <v>458</v>
      </c>
      <c r="H268" s="1" t="str" cm="1">
        <f t="array" ref="H268">CRC16HASH(F268)</f>
        <v>C4B3</v>
      </c>
      <c r="I268" t="str">
        <f t="shared" si="20"/>
        <v>{#fig-C4B3}</v>
      </c>
      <c r="J268" t="str">
        <f t="shared" si="21"/>
        <v>![Editing the quota for a model](figures/am/ss_quotas_002_ann.png){#fig-C4B3}</v>
      </c>
    </row>
    <row r="269" spans="1:10" x14ac:dyDescent="0.25">
      <c r="A269">
        <v>270</v>
      </c>
      <c r="B269" s="10" t="s">
        <v>416</v>
      </c>
      <c r="C269" t="s">
        <v>4</v>
      </c>
      <c r="D269" t="b">
        <v>0</v>
      </c>
      <c r="E269" t="b">
        <v>0</v>
      </c>
      <c r="F269" t="s">
        <v>459</v>
      </c>
      <c r="H269" s="1" t="str" cm="1">
        <f t="array" ref="H269">CRC16HASH(F269)</f>
        <v>1510</v>
      </c>
      <c r="I269" t="str">
        <f t="shared" si="20"/>
        <v>{#fig-1510}</v>
      </c>
      <c r="J269" t="str">
        <f t="shared" si="21"/>
        <v/>
      </c>
    </row>
    <row r="270" spans="1:10" x14ac:dyDescent="0.25">
      <c r="A270">
        <v>271</v>
      </c>
      <c r="B270" s="10" t="s">
        <v>416</v>
      </c>
      <c r="C270" t="s">
        <v>4</v>
      </c>
      <c r="D270" t="b">
        <v>1</v>
      </c>
      <c r="E270" t="b">
        <v>1</v>
      </c>
      <c r="F270" t="s">
        <v>460</v>
      </c>
      <c r="G270" t="s">
        <v>461</v>
      </c>
      <c r="H270" s="1" t="str" cm="1">
        <f t="array" ref="H270">CRC16HASH(F270)</f>
        <v>AB2E</v>
      </c>
      <c r="I270" t="str">
        <f t="shared" si="20"/>
        <v>{#fig-AB2E}</v>
      </c>
      <c r="J270" t="str">
        <f t="shared" si="21"/>
        <v>![Enabling Microsoft Purview monitoring of your Foundry Project](figures/am/ss_compliance_001_ann.png){#fig-AB2E}</v>
      </c>
    </row>
    <row r="271" spans="1:10" x14ac:dyDescent="0.25">
      <c r="A271">
        <v>272</v>
      </c>
      <c r="B271" s="10" t="s">
        <v>416</v>
      </c>
      <c r="C271" t="s">
        <v>4</v>
      </c>
      <c r="D271" t="b">
        <v>0</v>
      </c>
      <c r="E271" t="b">
        <v>1</v>
      </c>
      <c r="F271" t="s">
        <v>467</v>
      </c>
      <c r="G271" t="s">
        <v>468</v>
      </c>
      <c r="H271" s="1" t="str" cm="1">
        <f t="array" ref="H271">CRC16HASH(F271)</f>
        <v>A73E</v>
      </c>
      <c r="I271" t="str">
        <f t="shared" si="20"/>
        <v>{#fig-A73E}</v>
      </c>
      <c r="J271" t="str">
        <f t="shared" si="21"/>
        <v>![The Agent ID dashboard from the Azure Portal](figures/am/ss_agentid_001_clean.png){#fig-A73E}</v>
      </c>
    </row>
    <row r="272" spans="1:10" x14ac:dyDescent="0.25">
      <c r="A272">
        <v>273</v>
      </c>
      <c r="B272" s="10" t="s">
        <v>416</v>
      </c>
      <c r="C272" t="s">
        <v>4</v>
      </c>
      <c r="D272" t="b">
        <v>0</v>
      </c>
      <c r="E272" t="b">
        <v>0</v>
      </c>
      <c r="F272" t="s">
        <v>464</v>
      </c>
      <c r="H272" s="1" t="str" cm="1">
        <f t="array" ref="H272">CRC16HASH(F272)</f>
        <v>375E</v>
      </c>
      <c r="I272" t="str">
        <f t="shared" ref="I272:I275" si="22">_xlfn.CONCAT("{#fig-",H272,"}")</f>
        <v>{#fig-375E}</v>
      </c>
      <c r="J272" t="str">
        <f t="shared" si="21"/>
        <v/>
      </c>
    </row>
    <row r="273" spans="1:10" x14ac:dyDescent="0.25">
      <c r="A273">
        <v>274</v>
      </c>
      <c r="B273" s="10" t="s">
        <v>416</v>
      </c>
      <c r="C273" t="s">
        <v>4</v>
      </c>
      <c r="D273" t="b">
        <v>1</v>
      </c>
      <c r="E273" t="b">
        <v>1</v>
      </c>
      <c r="F273" t="s">
        <v>462</v>
      </c>
      <c r="G273" t="s">
        <v>466</v>
      </c>
      <c r="H273" s="1" t="str" cm="1">
        <f t="array" ref="H273">CRC16HASH(F273)</f>
        <v>D3C6</v>
      </c>
      <c r="I273" t="str">
        <f t="shared" si="22"/>
        <v>{#fig-D3C6}</v>
      </c>
      <c r="J273" t="str">
        <f t="shared" ref="J273:J275" si="23">IF(E273,_xlfn.CONCAT("![",G273,"](figures/",B273,"/",F273,")",I273),"")</f>
        <v>![Publishing an Agent to retrieve its Principal ID](figures/am/ss_entra_001_ann.png){#fig-D3C6}</v>
      </c>
    </row>
    <row r="274" spans="1:10" x14ac:dyDescent="0.25">
      <c r="A274">
        <v>275</v>
      </c>
      <c r="B274" s="10" t="s">
        <v>416</v>
      </c>
      <c r="C274" t="s">
        <v>4</v>
      </c>
      <c r="D274" t="b">
        <v>0</v>
      </c>
      <c r="E274" t="b">
        <v>1</v>
      </c>
      <c r="F274" t="s">
        <v>463</v>
      </c>
      <c r="G274" t="s">
        <v>465</v>
      </c>
      <c r="H274" s="1" t="str" cm="1">
        <f t="array" ref="H274">CRC16HASH(F274)</f>
        <v>7351</v>
      </c>
      <c r="I274" t="str">
        <f t="shared" si="22"/>
        <v>{#fig-7351}</v>
      </c>
      <c r="J274" t="str">
        <f t="shared" si="23"/>
        <v>![The general Application ID for the Foundry Project in Entra ID](figures/am/ss_entra_002_clean.png){#fig-7351}</v>
      </c>
    </row>
    <row r="275" spans="1:10" x14ac:dyDescent="0.25">
      <c r="A275">
        <v>276</v>
      </c>
      <c r="B275" s="8" t="s">
        <v>334</v>
      </c>
      <c r="C275" t="s">
        <v>6</v>
      </c>
      <c r="D275" t="b">
        <v>0</v>
      </c>
      <c r="E275" t="b">
        <v>1</v>
      </c>
      <c r="F275" t="s">
        <v>343</v>
      </c>
      <c r="G275" t="s">
        <v>345</v>
      </c>
      <c r="H275" s="1" t="str" cm="1">
        <f t="array" ref="H275">CRC16HASH(F275)</f>
        <v>8639</v>
      </c>
      <c r="I275" t="str">
        <f t="shared" si="22"/>
        <v>{#fig-8639}</v>
      </c>
      <c r="J275" t="str">
        <f t="shared" si="23"/>
        <v>![Key features of Foundry Local](figures/ed/il_local_001_clean.png){#fig-8639}</v>
      </c>
    </row>
    <row r="276" spans="1:10" x14ac:dyDescent="0.25">
      <c r="A276">
        <v>277</v>
      </c>
      <c r="B276" s="8" t="s">
        <v>334</v>
      </c>
      <c r="C276" t="s">
        <v>6</v>
      </c>
      <c r="D276" t="b">
        <v>0</v>
      </c>
      <c r="E276" t="b">
        <v>1</v>
      </c>
      <c r="F276" t="s">
        <v>344</v>
      </c>
      <c r="G276" t="s">
        <v>346</v>
      </c>
      <c r="H276" s="1" t="str" cm="1">
        <f t="array" ref="H276">CRC16HASH(F276)</f>
        <v>C236</v>
      </c>
      <c r="I276" t="str">
        <f t="shared" ref="I276:I277" si="24">_xlfn.CONCAT("{#fig-",H276,"}")</f>
        <v>{#fig-C236}</v>
      </c>
      <c r="J276" t="str">
        <f t="shared" ref="J276:J277" si="25">IF(E276,_xlfn.CONCAT("![",G276,"](figures/",B276,"/",F276,")",I276),"")</f>
        <v>![Architecture components of Foundry Local](figures/ed/il_local_002_clean.png){#fig-C236}</v>
      </c>
    </row>
    <row r="277" spans="1:10" x14ac:dyDescent="0.25">
      <c r="A277">
        <v>278</v>
      </c>
      <c r="B277" s="8" t="s">
        <v>334</v>
      </c>
      <c r="C277" t="s">
        <v>4</v>
      </c>
      <c r="D277" t="b">
        <v>0</v>
      </c>
      <c r="E277" t="b">
        <v>1</v>
      </c>
      <c r="F277" t="s">
        <v>347</v>
      </c>
      <c r="G277" t="s">
        <v>348</v>
      </c>
      <c r="H277" s="1" t="str" cm="1">
        <f t="array" ref="H277">CRC16HASH(F277)</f>
        <v>6A11</v>
      </c>
      <c r="I277" t="str">
        <f t="shared" si="24"/>
        <v>{#fig-6A11}</v>
      </c>
      <c r="J277" t="str">
        <f t="shared" si="25"/>
        <v>![The Foundry Local website homepage](figures/ed/ss_localsite_001_clean.png){#fig-6A11}</v>
      </c>
    </row>
    <row r="278" spans="1:10" x14ac:dyDescent="0.25">
      <c r="A278">
        <v>279</v>
      </c>
      <c r="B278" s="8" t="s">
        <v>334</v>
      </c>
      <c r="C278" t="s">
        <v>4</v>
      </c>
      <c r="D278" t="b">
        <v>0</v>
      </c>
      <c r="E278" t="b">
        <v>1</v>
      </c>
      <c r="F278" t="s">
        <v>335</v>
      </c>
      <c r="G278" t="s">
        <v>342</v>
      </c>
      <c r="H278" s="1" t="str" cm="1">
        <f t="array" ref="H278">CRC16HASH(F278)</f>
        <v>9AEF</v>
      </c>
      <c r="I278" t="str">
        <f t="shared" ref="I278:I282" si="26">_xlfn.CONCAT("{#fig-",H278,"}")</f>
        <v>{#fig-9AEF}</v>
      </c>
      <c r="J278" t="str">
        <f t="shared" ref="J278:J281" si="27">IF(E278,_xlfn.CONCAT("![",G278,"](figures/",B278,"/",F278,")",I278),"")</f>
        <v>![Chatting with a small Qwen 2.5 model using the Foundry Local CLI](figures/ed/ss_local_001_clean.png){#fig-9AEF}</v>
      </c>
    </row>
    <row r="279" spans="1:10" x14ac:dyDescent="0.25">
      <c r="A279">
        <v>280</v>
      </c>
      <c r="B279" s="8" t="s">
        <v>334</v>
      </c>
      <c r="C279" t="s">
        <v>4</v>
      </c>
      <c r="D279" t="b">
        <v>0</v>
      </c>
      <c r="E279" t="b">
        <v>1</v>
      </c>
      <c r="F279" t="s">
        <v>336</v>
      </c>
      <c r="G279" t="s">
        <v>341</v>
      </c>
      <c r="H279" s="1" t="str" cm="1">
        <f t="array" ref="H279">CRC16HASH(F279)</f>
        <v>DEE0</v>
      </c>
      <c r="I279" t="str">
        <f t="shared" si="26"/>
        <v>{#fig-DEE0}</v>
      </c>
      <c r="J279" t="str">
        <f t="shared" si="27"/>
        <v>![Chatting with a Phi-4 model with reasoning using the Foundry Local CLI](figures/ed/ss_local_002_clean.png){#fig-DEE0}</v>
      </c>
    </row>
    <row r="280" spans="1:10" x14ac:dyDescent="0.25">
      <c r="A280">
        <v>281</v>
      </c>
      <c r="B280" s="8" t="s">
        <v>334</v>
      </c>
      <c r="C280" t="s">
        <v>4</v>
      </c>
      <c r="D280" t="b">
        <v>0</v>
      </c>
      <c r="E280" t="b">
        <v>1</v>
      </c>
      <c r="F280" t="s">
        <v>337</v>
      </c>
      <c r="G280" t="s">
        <v>339</v>
      </c>
      <c r="H280" s="1" t="str" cm="1">
        <f t="array" ref="H280">CRC16HASH(F280)</f>
        <v>22E4</v>
      </c>
      <c r="I280" t="str">
        <f t="shared" si="26"/>
        <v>{#fig-22E4}</v>
      </c>
      <c r="J280" t="str">
        <f t="shared" si="27"/>
        <v>![Chatting with an LLM using the Foundry Local Python SDK](figures/ed/ss_local_003_clean.png){#fig-22E4}</v>
      </c>
    </row>
    <row r="281" spans="1:10" x14ac:dyDescent="0.25">
      <c r="A281">
        <v>282</v>
      </c>
      <c r="B281" s="8" t="s">
        <v>334</v>
      </c>
      <c r="C281" t="s">
        <v>4</v>
      </c>
      <c r="D281" t="b">
        <v>0</v>
      </c>
      <c r="E281" t="b">
        <v>1</v>
      </c>
      <c r="F281" t="s">
        <v>338</v>
      </c>
      <c r="G281" t="s">
        <v>340</v>
      </c>
      <c r="H281" s="1" t="str" cm="1">
        <f t="array" ref="H281">CRC16HASH(F281)</f>
        <v>56FE</v>
      </c>
      <c r="I281" t="str">
        <f t="shared" si="26"/>
        <v>{#fig-56FE}</v>
      </c>
      <c r="J281" t="str">
        <f t="shared" si="27"/>
        <v>![Audio transcription with a Whisper model using the Foundry Local Javascript app](figures/ed/ss_local_004_clean.png){#fig-56FE}</v>
      </c>
    </row>
    <row r="282" spans="1:10" x14ac:dyDescent="0.25">
      <c r="A282">
        <v>283</v>
      </c>
      <c r="B282" s="8" t="s">
        <v>334</v>
      </c>
      <c r="C282" t="s">
        <v>6</v>
      </c>
      <c r="D282" t="b">
        <v>0</v>
      </c>
      <c r="E282" t="b">
        <v>1</v>
      </c>
      <c r="F282" t="s">
        <v>350</v>
      </c>
      <c r="G282" t="s">
        <v>349</v>
      </c>
      <c r="H282" s="1" t="str" cm="1">
        <f t="array" ref="H282">CRC16HASH(F282)</f>
        <v>6908</v>
      </c>
      <c r="I282" t="str">
        <f t="shared" si="26"/>
        <v>{#fig-6908}</v>
      </c>
      <c r="J282" t="str">
        <f t="shared" ref="J282" si="28">IF(E282,_xlfn.CONCAT("![",G282,"](figures/",B282,"/",F282,")",I282),"")</f>
        <v>![Quantization example walkthrough from FP32 to INT4](figures/ed/il_quant_001_clean.png){#fig-6908}</v>
      </c>
    </row>
    <row r="283" spans="1:10" x14ac:dyDescent="0.25">
      <c r="A283">
        <v>284</v>
      </c>
      <c r="B283" s="8" t="s">
        <v>334</v>
      </c>
      <c r="C283" t="s">
        <v>4</v>
      </c>
      <c r="D283" t="b">
        <v>0</v>
      </c>
      <c r="E283" t="b">
        <v>1</v>
      </c>
      <c r="F283" t="s">
        <v>351</v>
      </c>
      <c r="G283" t="s">
        <v>352</v>
      </c>
      <c r="H283" s="1" t="str" cm="1">
        <f t="array" ref="H283">CRC16HASH(F283)</f>
        <v>C0FB</v>
      </c>
      <c r="I283" t="str">
        <f t="shared" ref="I283:I300" si="29">_xlfn.CONCAT("{#fig-",H283,"}")</f>
        <v>{#fig-C0FB}</v>
      </c>
      <c r="J283" t="str">
        <f t="shared" ref="J283:J300" si="30">IF(E283,_xlfn.CONCAT("![",G283,"](figures/",B283,"/",F283,")",I283),"")</f>
        <v>![Quantization of Qwen 2.5 0.5B for CPU inference using Olive](figures/ed/ss_olive_001_clean.png){#fig-C0FB}</v>
      </c>
    </row>
    <row r="284" spans="1:10" x14ac:dyDescent="0.25">
      <c r="A284">
        <v>285</v>
      </c>
      <c r="B284" s="11" t="s">
        <v>92</v>
      </c>
      <c r="C284" t="s">
        <v>6</v>
      </c>
      <c r="D284" t="b">
        <v>0</v>
      </c>
      <c r="E284" t="b">
        <v>1</v>
      </c>
      <c r="F284" t="s">
        <v>482</v>
      </c>
      <c r="G284" t="s">
        <v>483</v>
      </c>
      <c r="H284" s="1" t="str" cm="1">
        <f t="array" ref="H284">CRC16HASH(F284)</f>
        <v>9BA0</v>
      </c>
      <c r="I284" t="str">
        <f t="shared" si="29"/>
        <v>{#fig-9BA0}</v>
      </c>
      <c r="J284" t="str">
        <f t="shared" si="30"/>
        <v>![How a memory store recalls previous context](figures/co/il_memory_001_clean.png){#fig-9BA0}</v>
      </c>
    </row>
    <row r="285" spans="1:10" x14ac:dyDescent="0.25">
      <c r="A285">
        <v>286</v>
      </c>
      <c r="B285" s="11" t="s">
        <v>92</v>
      </c>
      <c r="C285" t="s">
        <v>4</v>
      </c>
      <c r="D285" t="b">
        <v>0</v>
      </c>
      <c r="E285" t="b">
        <v>0</v>
      </c>
      <c r="F285" t="s">
        <v>478</v>
      </c>
      <c r="H285" s="1" t="str" cm="1">
        <f t="array" ref="H285">CRC16HASH(F285)</f>
        <v>53D</v>
      </c>
      <c r="I285" t="str">
        <f t="shared" si="29"/>
        <v>{#fig-53D}</v>
      </c>
      <c r="J285" t="str">
        <f t="shared" si="30"/>
        <v/>
      </c>
    </row>
    <row r="286" spans="1:10" x14ac:dyDescent="0.25">
      <c r="A286">
        <v>287</v>
      </c>
      <c r="B286" s="11" t="s">
        <v>92</v>
      </c>
      <c r="C286" t="s">
        <v>4</v>
      </c>
      <c r="D286" t="b">
        <v>1</v>
      </c>
      <c r="E286" t="b">
        <v>1</v>
      </c>
      <c r="F286" t="s">
        <v>480</v>
      </c>
      <c r="G286" t="s">
        <v>477</v>
      </c>
      <c r="H286" s="1" t="str" cm="1">
        <f t="array" ref="H286">CRC16HASH(F286)</f>
        <v>D4BD</v>
      </c>
      <c r="I286" t="str">
        <f t="shared" si="29"/>
        <v>{#fig-D4BD}</v>
      </c>
      <c r="J286" t="str">
        <f t="shared" si="30"/>
        <v>![Locating the memory capability on an Agent](figures/co/ss_memory_001_ann.png){#fig-D4BD}</v>
      </c>
    </row>
    <row r="287" spans="1:10" x14ac:dyDescent="0.25">
      <c r="A287">
        <v>288</v>
      </c>
      <c r="B287" s="11" t="s">
        <v>92</v>
      </c>
      <c r="C287" t="s">
        <v>4</v>
      </c>
      <c r="D287" t="b">
        <v>0</v>
      </c>
      <c r="E287" t="b">
        <v>1</v>
      </c>
      <c r="F287" t="s">
        <v>479</v>
      </c>
      <c r="G287" t="s">
        <v>481</v>
      </c>
      <c r="H287" s="1" t="str" cm="1">
        <f t="array" ref="H287">CRC16HASH(F287)</f>
        <v>4132</v>
      </c>
      <c r="I287" t="str">
        <f t="shared" si="29"/>
        <v>{#fig-4132}</v>
      </c>
      <c r="J287" t="str">
        <f t="shared" si="30"/>
        <v>![Editing the memory store](figures/co/ss_memory_002_clean.png){#fig-4132}</v>
      </c>
    </row>
    <row r="288" spans="1:10" x14ac:dyDescent="0.25">
      <c r="A288">
        <v>289</v>
      </c>
      <c r="B288" s="11" t="s">
        <v>92</v>
      </c>
      <c r="C288" t="s">
        <v>4</v>
      </c>
      <c r="D288" t="b">
        <v>0</v>
      </c>
      <c r="E288" t="b">
        <v>0</v>
      </c>
      <c r="F288" t="s">
        <v>484</v>
      </c>
      <c r="H288" s="1" t="str" cm="1">
        <f t="array" ref="H288">CRC16HASH(F288)</f>
        <v>1501</v>
      </c>
      <c r="I288" t="str">
        <f t="shared" si="29"/>
        <v>{#fig-1501}</v>
      </c>
      <c r="J288" t="str">
        <f t="shared" si="30"/>
        <v/>
      </c>
    </row>
    <row r="289" spans="1:10" x14ac:dyDescent="0.25">
      <c r="A289">
        <v>290</v>
      </c>
      <c r="B289" s="11" t="s">
        <v>92</v>
      </c>
      <c r="C289" t="s">
        <v>4</v>
      </c>
      <c r="D289" t="b">
        <v>1</v>
      </c>
      <c r="E289" t="b">
        <v>1</v>
      </c>
      <c r="F289" t="s">
        <v>485</v>
      </c>
      <c r="G289" t="s">
        <v>486</v>
      </c>
      <c r="H289" s="1" t="str" cm="1">
        <f t="array" ref="H289">CRC16HASH(F289)</f>
        <v>AB12</v>
      </c>
      <c r="I289" t="str">
        <f t="shared" si="29"/>
        <v>{#fig-AB12}</v>
      </c>
      <c r="J289" t="str">
        <f t="shared" si="30"/>
        <v>![Locating the Evaluations screen](figures/co/ss_evaluations_001_ann.png){#fig-AB12}</v>
      </c>
    </row>
    <row r="290" spans="1:10" x14ac:dyDescent="0.25">
      <c r="A290">
        <v>291</v>
      </c>
      <c r="B290" s="11" t="s">
        <v>92</v>
      </c>
      <c r="C290" t="s">
        <v>4</v>
      </c>
      <c r="D290" t="b">
        <v>0</v>
      </c>
      <c r="E290" t="b">
        <v>1</v>
      </c>
      <c r="F290" t="s">
        <v>487</v>
      </c>
      <c r="G290" t="s">
        <v>488</v>
      </c>
      <c r="H290" s="1" t="str" cm="1">
        <f t="array" ref="H290">CRC16HASH(F290)</f>
        <v>510E</v>
      </c>
      <c r="I290" t="str">
        <f t="shared" si="29"/>
        <v>{#fig-510E}</v>
      </c>
      <c r="J290" t="str">
        <f t="shared" si="30"/>
        <v>![Configuring the evaluation process for an agent using synthetic data](figures/co/ss_evaluations_002_clean.png){#fig-510E}</v>
      </c>
    </row>
    <row r="291" spans="1:10" x14ac:dyDescent="0.25">
      <c r="A291">
        <v>292</v>
      </c>
      <c r="B291" s="11" t="s">
        <v>92</v>
      </c>
      <c r="C291" t="s">
        <v>4</v>
      </c>
      <c r="D291" t="b">
        <v>0</v>
      </c>
      <c r="E291" t="b">
        <v>0</v>
      </c>
      <c r="F291" t="s">
        <v>489</v>
      </c>
      <c r="H291" s="1" t="str" cm="1">
        <f t="array" ref="H291">CRC16HASH(F291)</f>
        <v>AD0A</v>
      </c>
      <c r="I291" t="str">
        <f t="shared" si="29"/>
        <v>{#fig-AD0A}</v>
      </c>
      <c r="J291" t="str">
        <f t="shared" si="30"/>
        <v/>
      </c>
    </row>
    <row r="292" spans="1:10" x14ac:dyDescent="0.25">
      <c r="A292">
        <v>293</v>
      </c>
      <c r="B292" s="11" t="s">
        <v>92</v>
      </c>
      <c r="C292" t="s">
        <v>4</v>
      </c>
      <c r="D292" t="b">
        <v>1</v>
      </c>
      <c r="E292" t="b">
        <v>1</v>
      </c>
      <c r="F292" t="s">
        <v>490</v>
      </c>
      <c r="G292" t="s">
        <v>491</v>
      </c>
      <c r="H292" s="1" t="str" cm="1">
        <f t="array" ref="H292">CRC16HASH(F292)</f>
        <v>CB0B</v>
      </c>
      <c r="I292" t="str">
        <f t="shared" si="29"/>
        <v>{#fig-CB0B}</v>
      </c>
      <c r="J292" t="str">
        <f t="shared" si="30"/>
        <v>![The Evaluator catalog show the details of a built-in evaluator](figures/co/ss_evaluations_003_ann.png){#fig-CB0B}</v>
      </c>
    </row>
    <row r="293" spans="1:10" x14ac:dyDescent="0.25">
      <c r="A293">
        <v>294</v>
      </c>
      <c r="B293" s="11" t="s">
        <v>92</v>
      </c>
      <c r="C293" t="s">
        <v>4</v>
      </c>
      <c r="D293" t="b">
        <v>0</v>
      </c>
      <c r="E293" t="b">
        <v>0</v>
      </c>
      <c r="F293" t="s">
        <v>492</v>
      </c>
      <c r="H293" s="1" t="str" cm="1">
        <f t="array" ref="H293">CRC16HASH(F293)</f>
        <v>A472</v>
      </c>
      <c r="I293" t="str">
        <f t="shared" si="29"/>
        <v>{#fig-A472}</v>
      </c>
      <c r="J293" t="str">
        <f t="shared" si="30"/>
        <v/>
      </c>
    </row>
    <row r="294" spans="1:10" x14ac:dyDescent="0.25">
      <c r="A294">
        <v>295</v>
      </c>
      <c r="B294" s="11" t="s">
        <v>92</v>
      </c>
      <c r="C294" t="s">
        <v>4</v>
      </c>
      <c r="D294" t="b">
        <v>1</v>
      </c>
      <c r="E294" t="b">
        <v>1</v>
      </c>
      <c r="F294" t="s">
        <v>493</v>
      </c>
      <c r="G294" t="s">
        <v>494</v>
      </c>
      <c r="H294" s="1" t="str" cm="1">
        <f t="array" ref="H294">CRC16HASH(F294)</f>
        <v>17AA</v>
      </c>
      <c r="I294" t="str">
        <f t="shared" si="29"/>
        <v>{#fig-17AA}</v>
      </c>
      <c r="J294" t="str">
        <f t="shared" si="30"/>
        <v>![Locating the Batch jobs feature under Models](figures/co/ss_batchjobs_001_ann.png){#fig-17AA}</v>
      </c>
    </row>
    <row r="295" spans="1:10" x14ac:dyDescent="0.25">
      <c r="A295">
        <v>296</v>
      </c>
      <c r="B295" s="11" t="s">
        <v>92</v>
      </c>
      <c r="C295" t="s">
        <v>4</v>
      </c>
      <c r="D295" t="b">
        <v>0</v>
      </c>
      <c r="E295" t="b">
        <v>1</v>
      </c>
      <c r="F295" t="s">
        <v>495</v>
      </c>
      <c r="G295" t="s">
        <v>496</v>
      </c>
      <c r="H295" s="1" t="str" cm="1">
        <f t="array" ref="H295">CRC16HASH(F295)</f>
        <v>E07D</v>
      </c>
      <c r="I295" t="str">
        <f t="shared" si="29"/>
        <v>{#fig-E07D}</v>
      </c>
      <c r="J295" t="str">
        <f t="shared" si="30"/>
        <v>![Uploading .jsonl data to create a batch job](figures/co/ss_batchjobs_002_clean.png){#fig-E07D}</v>
      </c>
    </row>
    <row r="296" spans="1:10" x14ac:dyDescent="0.25">
      <c r="A296">
        <v>297</v>
      </c>
      <c r="B296" s="11" t="s">
        <v>92</v>
      </c>
      <c r="C296" t="s">
        <v>4</v>
      </c>
      <c r="D296" t="b">
        <v>0</v>
      </c>
      <c r="E296" t="b">
        <v>0</v>
      </c>
      <c r="F296" t="s">
        <v>498</v>
      </c>
      <c r="H296" s="1" t="str" cm="1">
        <f t="array" ref="H296">CRC16HASH(F296)</f>
        <v>8700</v>
      </c>
      <c r="I296" t="str">
        <f t="shared" si="29"/>
        <v>{#fig-8700}</v>
      </c>
      <c r="J296" t="str">
        <f t="shared" si="30"/>
        <v/>
      </c>
    </row>
    <row r="297" spans="1:10" x14ac:dyDescent="0.25">
      <c r="A297">
        <v>298</v>
      </c>
      <c r="B297" s="11" t="s">
        <v>92</v>
      </c>
      <c r="C297" t="s">
        <v>4</v>
      </c>
      <c r="D297" t="b">
        <v>1</v>
      </c>
      <c r="E297" t="b">
        <v>1</v>
      </c>
      <c r="F297" t="s">
        <v>499</v>
      </c>
      <c r="G297" t="s">
        <v>497</v>
      </c>
      <c r="H297" s="1" t="str" cm="1">
        <f t="array" ref="H297">CRC16HASH(F297)</f>
        <v>2CED</v>
      </c>
      <c r="I297" t="str">
        <f t="shared" si="29"/>
        <v>{#fig-2CED}</v>
      </c>
      <c r="J297" t="str">
        <f t="shared" si="30"/>
        <v>![Locating the AI Services options under Models](figures/co/ss_aiservices_001_ann.png){#fig-2CED}</v>
      </c>
    </row>
    <row r="298" spans="1:10" x14ac:dyDescent="0.25">
      <c r="A298">
        <v>299</v>
      </c>
      <c r="B298" s="11" t="s">
        <v>92</v>
      </c>
      <c r="C298" t="s">
        <v>4</v>
      </c>
      <c r="D298" t="b">
        <v>0</v>
      </c>
      <c r="E298" t="b">
        <v>1</v>
      </c>
      <c r="F298" t="s">
        <v>501</v>
      </c>
      <c r="G298" t="s">
        <v>500</v>
      </c>
      <c r="H298" s="1" t="str" cm="1">
        <f t="array" ref="H298">CRC16HASH(F298)</f>
        <v>C30F</v>
      </c>
      <c r="I298" t="str">
        <f t="shared" si="29"/>
        <v>{#fig-C30F}</v>
      </c>
      <c r="J298" t="str">
        <f t="shared" si="30"/>
        <v>![Testing out the Voice Live AI service in a Playground](figures/co/ss_aiservices_002_clean.png){#fig-C30F}</v>
      </c>
    </row>
    <row r="299" spans="1:10" x14ac:dyDescent="0.25">
      <c r="A299">
        <v>303</v>
      </c>
      <c r="B299" s="11" t="s">
        <v>92</v>
      </c>
      <c r="C299" t="s">
        <v>6</v>
      </c>
      <c r="D299" t="b">
        <v>0</v>
      </c>
      <c r="E299" t="b">
        <v>1</v>
      </c>
      <c r="F299" t="s">
        <v>473</v>
      </c>
      <c r="G299" t="s">
        <v>474</v>
      </c>
      <c r="H299" s="1" t="str" cm="1">
        <f t="array" ref="H299">CRC16HASH(F299)</f>
        <v>1FED</v>
      </c>
      <c r="I299" t="str">
        <f t="shared" si="29"/>
        <v>{#fig-1FED}</v>
      </c>
      <c r="J299" t="str">
        <f t="shared" si="30"/>
        <v>![Governance workflow of the Microsoft Agent Governance Toolkit](figures/co/il_govframework_001_clean.png){#fig-1FED}</v>
      </c>
    </row>
    <row r="300" spans="1:10" x14ac:dyDescent="0.25">
      <c r="A300">
        <v>304</v>
      </c>
      <c r="B300" s="11" t="s">
        <v>92</v>
      </c>
      <c r="C300" t="s">
        <v>6</v>
      </c>
      <c r="D300" t="b">
        <v>0</v>
      </c>
      <c r="E300" t="b">
        <v>1</v>
      </c>
      <c r="F300" t="s">
        <v>475</v>
      </c>
      <c r="G300" t="s">
        <v>476</v>
      </c>
      <c r="H300" s="1" t="str" cm="1">
        <f t="array" ref="H300">CRC16HASH(F300)</f>
        <v>5BE2</v>
      </c>
      <c r="I300" t="str">
        <f t="shared" si="29"/>
        <v>{#fig-5BE2}</v>
      </c>
      <c r="J300" t="str">
        <f t="shared" si="30"/>
        <v>![The 4 privilege rings of zero-trust Agent identity](figures/co/il_govframework_002_clean.png){#fig-5BE2}</v>
      </c>
    </row>
    <row r="301" spans="1:10" x14ac:dyDescent="0.25">
      <c r="A301">
        <v>305</v>
      </c>
      <c r="B301" s="11" t="s">
        <v>92</v>
      </c>
      <c r="C301" t="s">
        <v>6</v>
      </c>
      <c r="D301" t="b">
        <v>0</v>
      </c>
      <c r="E301" t="b">
        <v>1</v>
      </c>
      <c r="F301" t="s">
        <v>502</v>
      </c>
      <c r="G301" t="s">
        <v>503</v>
      </c>
      <c r="H301" s="1" t="str" cm="1">
        <f t="array" ref="H301">CRC16HASH(F301)</f>
        <v>F9BA</v>
      </c>
      <c r="I301" t="str">
        <f t="shared" ref="I301" si="31">_xlfn.CONCAT("{#fig-",H301,"}")</f>
        <v>{#fig-F9BA}</v>
      </c>
      <c r="J301" t="str">
        <f t="shared" ref="J301" si="32">IF(E301,_xlfn.CONCAT("![",G301,"](figures/",B301,"/",F301,")",I301),"")</f>
        <v>![A basic, mostly serverless architecture for AI](figures/co/il_architecture_001_clean.png){#fig-F9BA}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10"/>
  <sheetViews>
    <sheetView workbookViewId="0">
      <selection activeCell="C25" sqref="C25"/>
    </sheetView>
  </sheetViews>
  <sheetFormatPr defaultRowHeight="15" x14ac:dyDescent="0.25"/>
  <cols>
    <col min="1" max="1" width="8.28515625" bestFit="1" customWidth="1"/>
    <col min="2" max="2" width="6.28515625" bestFit="1" customWidth="1"/>
    <col min="3" max="3" width="54.85546875" bestFit="1" customWidth="1"/>
  </cols>
  <sheetData>
    <row r="1" spans="1:3" x14ac:dyDescent="0.25">
      <c r="A1" s="12" t="s">
        <v>214</v>
      </c>
      <c r="B1" s="12" t="s">
        <v>86</v>
      </c>
      <c r="C1" s="12" t="s">
        <v>85</v>
      </c>
    </row>
    <row r="2" spans="1:3" x14ac:dyDescent="0.25">
      <c r="A2" s="2">
        <v>1</v>
      </c>
      <c r="B2" s="3" t="s">
        <v>91</v>
      </c>
      <c r="C2" t="s">
        <v>87</v>
      </c>
    </row>
    <row r="3" spans="1:3" x14ac:dyDescent="0.25">
      <c r="A3" s="2">
        <v>2</v>
      </c>
      <c r="B3" s="4" t="s">
        <v>93</v>
      </c>
      <c r="C3" t="s">
        <v>88</v>
      </c>
    </row>
    <row r="4" spans="1:3" x14ac:dyDescent="0.25">
      <c r="A4" s="2">
        <v>3</v>
      </c>
      <c r="B4" s="5" t="s">
        <v>94</v>
      </c>
      <c r="C4" t="s">
        <v>89</v>
      </c>
    </row>
    <row r="5" spans="1:3" x14ac:dyDescent="0.25">
      <c r="A5" s="2">
        <v>4</v>
      </c>
      <c r="B5" s="6" t="s">
        <v>95</v>
      </c>
      <c r="C5" t="s">
        <v>455</v>
      </c>
    </row>
    <row r="6" spans="1:3" x14ac:dyDescent="0.25">
      <c r="A6" s="2">
        <v>5</v>
      </c>
      <c r="B6" s="7" t="s">
        <v>96</v>
      </c>
      <c r="C6" t="s">
        <v>469</v>
      </c>
    </row>
    <row r="7" spans="1:3" x14ac:dyDescent="0.25">
      <c r="A7" s="2">
        <v>6</v>
      </c>
      <c r="B7" s="9" t="s">
        <v>353</v>
      </c>
      <c r="C7" t="s">
        <v>470</v>
      </c>
    </row>
    <row r="8" spans="1:3" x14ac:dyDescent="0.25">
      <c r="A8" s="2">
        <v>7</v>
      </c>
      <c r="B8" s="10" t="s">
        <v>416</v>
      </c>
      <c r="C8" t="s">
        <v>454</v>
      </c>
    </row>
    <row r="9" spans="1:3" x14ac:dyDescent="0.25">
      <c r="A9" s="2">
        <v>8</v>
      </c>
      <c r="B9" s="8" t="s">
        <v>334</v>
      </c>
      <c r="C9" t="s">
        <v>90</v>
      </c>
    </row>
    <row r="10" spans="1:3" x14ac:dyDescent="0.25">
      <c r="A10" s="2">
        <v>9</v>
      </c>
      <c r="B10" s="11" t="s">
        <v>92</v>
      </c>
      <c r="C10" t="s">
        <v>504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2026-04-24T15:02:30Z</dcterms:modified>
</cp:coreProperties>
</file>